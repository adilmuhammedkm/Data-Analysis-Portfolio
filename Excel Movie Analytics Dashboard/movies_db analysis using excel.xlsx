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/Users/adilmuhammedk.m/Documents/Data Analysis Project/"/>
    </mc:Choice>
  </mc:AlternateContent>
  <xr:revisionPtr revIDLastSave="0" documentId="8_{F7AF7C7F-C563-41A1-AA7D-8D94D158E83E}" xr6:coauthVersionLast="47" xr6:coauthVersionMax="47" xr10:uidLastSave="{00000000-0000-0000-0000-000000000000}"/>
  <bookViews>
    <workbookView xWindow="0" yWindow="0" windowWidth="28800" windowHeight="18000" firstSheet="1" activeTab="3" xr2:uid="{00000000-000D-0000-FFFF-FFFF00000000}"/>
  </bookViews>
  <sheets>
    <sheet name="movies" sheetId="1" r:id="rId1"/>
    <sheet name="Detail1" sheetId="8" r:id="rId2"/>
    <sheet name="PivotTables" sheetId="7" r:id="rId3"/>
    <sheet name="Dashboard" sheetId="6" r:id="rId4"/>
    <sheet name="financials" sheetId="2" r:id="rId5"/>
    <sheet name="actors" sheetId="3" r:id="rId6"/>
    <sheet name="movie_actor" sheetId="4" r:id="rId7"/>
    <sheet name="languages" sheetId="5" r:id="rId8"/>
  </sheets>
  <definedNames>
    <definedName name="Slicer_industry1">#N/A</definedName>
    <definedName name="Slicer_Language">#N/A</definedName>
    <definedName name="Slicer_language_id">#N/A</definedName>
    <definedName name="Slicer_release_year1">#N/A</definedName>
  </definedNames>
  <calcPr calcId="191028"/>
  <pivotCaches>
    <pivotCache cacheId="527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J3" i="1" a="1"/>
  <c r="J3" i="1" s="1"/>
  <c r="J4" i="1" a="1"/>
  <c r="J4" i="1" s="1"/>
  <c r="J5" i="1" a="1"/>
  <c r="J5" i="1" s="1"/>
  <c r="N5" i="1" s="1"/>
  <c r="R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N13" i="1" s="1"/>
  <c r="R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N21" i="1" s="1"/>
  <c r="R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N37" i="1" s="1"/>
  <c r="R37" i="1" s="1"/>
  <c r="J38" i="1" a="1"/>
  <c r="J38" i="1" s="1"/>
  <c r="J39" i="1" a="1"/>
  <c r="J39" i="1" s="1"/>
  <c r="J40" i="1" a="1"/>
  <c r="J40" i="1" s="1"/>
  <c r="L2" i="1" a="1"/>
  <c r="L2" i="1" s="1"/>
  <c r="K2" i="1" a="1"/>
  <c r="K2" i="1" s="1"/>
  <c r="J2" i="1" a="1"/>
  <c r="J2" i="1" s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P37" i="1" l="1"/>
  <c r="P21" i="1"/>
  <c r="P13" i="1"/>
  <c r="P5" i="1"/>
  <c r="N29" i="1"/>
  <c r="N38" i="1"/>
  <c r="P38" i="1" s="1"/>
  <c r="N30" i="1"/>
  <c r="P30" i="1" s="1"/>
  <c r="N22" i="1"/>
  <c r="P22" i="1" s="1"/>
  <c r="N14" i="1"/>
  <c r="N6" i="1"/>
  <c r="N36" i="1"/>
  <c r="N28" i="1"/>
  <c r="N20" i="1"/>
  <c r="N12" i="1"/>
  <c r="N4" i="1"/>
  <c r="M38" i="1"/>
  <c r="O38" i="1" s="1"/>
  <c r="M33" i="1"/>
  <c r="O33" i="1" s="1"/>
  <c r="M25" i="1"/>
  <c r="O25" i="1" s="1"/>
  <c r="M17" i="1"/>
  <c r="O17" i="1" s="1"/>
  <c r="M9" i="1"/>
  <c r="O9" i="1" s="1"/>
  <c r="M2" i="1"/>
  <c r="M40" i="1"/>
  <c r="O40" i="1" s="1"/>
  <c r="M32" i="1"/>
  <c r="O32" i="1" s="1"/>
  <c r="M24" i="1"/>
  <c r="O24" i="1" s="1"/>
  <c r="M16" i="1"/>
  <c r="O16" i="1" s="1"/>
  <c r="N8" i="1"/>
  <c r="N39" i="1"/>
  <c r="N31" i="1"/>
  <c r="N23" i="1"/>
  <c r="P23" i="1" s="1"/>
  <c r="N15" i="1"/>
  <c r="P15" i="1" s="1"/>
  <c r="N7" i="1"/>
  <c r="M35" i="1"/>
  <c r="O35" i="1" s="1"/>
  <c r="M27" i="1"/>
  <c r="O27" i="1" s="1"/>
  <c r="M19" i="1"/>
  <c r="O19" i="1" s="1"/>
  <c r="M11" i="1"/>
  <c r="O11" i="1" s="1"/>
  <c r="M3" i="1"/>
  <c r="O3" i="1" s="1"/>
  <c r="M8" i="1"/>
  <c r="O8" i="1" s="1"/>
  <c r="N33" i="1"/>
  <c r="P33" i="1" s="1"/>
  <c r="N25" i="1"/>
  <c r="P25" i="1" s="1"/>
  <c r="N17" i="1"/>
  <c r="P17" i="1" s="1"/>
  <c r="N9" i="1"/>
  <c r="M34" i="1"/>
  <c r="O34" i="1" s="1"/>
  <c r="M26" i="1"/>
  <c r="O26" i="1" s="1"/>
  <c r="M18" i="1"/>
  <c r="O18" i="1" s="1"/>
  <c r="M10" i="1"/>
  <c r="O10" i="1" s="1"/>
  <c r="N40" i="1"/>
  <c r="P40" i="1" s="1"/>
  <c r="N32" i="1"/>
  <c r="P32" i="1" s="1"/>
  <c r="N24" i="1"/>
  <c r="P24" i="1" s="1"/>
  <c r="N16" i="1"/>
  <c r="M31" i="1"/>
  <c r="O31" i="1" s="1"/>
  <c r="M15" i="1"/>
  <c r="O15" i="1" s="1"/>
  <c r="M30" i="1"/>
  <c r="O30" i="1" s="1"/>
  <c r="M22" i="1"/>
  <c r="O22" i="1" s="1"/>
  <c r="M14" i="1"/>
  <c r="O14" i="1" s="1"/>
  <c r="M6" i="1"/>
  <c r="O6" i="1" s="1"/>
  <c r="M39" i="1"/>
  <c r="O39" i="1" s="1"/>
  <c r="M7" i="1"/>
  <c r="O7" i="1" s="1"/>
  <c r="M37" i="1"/>
  <c r="O37" i="1" s="1"/>
  <c r="M29" i="1"/>
  <c r="O29" i="1" s="1"/>
  <c r="M21" i="1"/>
  <c r="O21" i="1" s="1"/>
  <c r="M13" i="1"/>
  <c r="O13" i="1" s="1"/>
  <c r="M5" i="1"/>
  <c r="O5" i="1" s="1"/>
  <c r="N35" i="1"/>
  <c r="N27" i="1"/>
  <c r="N19" i="1"/>
  <c r="N11" i="1"/>
  <c r="N3" i="1"/>
  <c r="M23" i="1"/>
  <c r="O23" i="1" s="1"/>
  <c r="M36" i="1"/>
  <c r="O36" i="1" s="1"/>
  <c r="M28" i="1"/>
  <c r="O28" i="1" s="1"/>
  <c r="M20" i="1"/>
  <c r="O20" i="1" s="1"/>
  <c r="M12" i="1"/>
  <c r="O12" i="1" s="1"/>
  <c r="M4" i="1"/>
  <c r="O4" i="1" s="1"/>
  <c r="N34" i="1"/>
  <c r="P34" i="1" s="1"/>
  <c r="N26" i="1"/>
  <c r="N18" i="1"/>
  <c r="P18" i="1" s="1"/>
  <c r="N10" i="1"/>
  <c r="P10" i="1" s="1"/>
  <c r="N2" i="1"/>
  <c r="P2" i="1" s="1"/>
  <c r="O2" i="1" l="1"/>
  <c r="Q2" i="1"/>
  <c r="P26" i="1"/>
  <c r="R26" i="1"/>
  <c r="P16" i="1"/>
  <c r="R16" i="1"/>
  <c r="P9" i="1"/>
  <c r="R9" i="1"/>
  <c r="P7" i="1"/>
  <c r="R7" i="1"/>
  <c r="P31" i="1"/>
  <c r="R31" i="1"/>
  <c r="P39" i="1"/>
  <c r="R39" i="1"/>
  <c r="P8" i="1"/>
  <c r="R8" i="1"/>
  <c r="P6" i="1"/>
  <c r="R6" i="1"/>
  <c r="P14" i="1"/>
  <c r="R14" i="1"/>
  <c r="R2" i="1"/>
  <c r="R24" i="1"/>
  <c r="P28" i="1"/>
  <c r="R28" i="1"/>
  <c r="R30" i="1"/>
  <c r="R40" i="1"/>
  <c r="P35" i="1"/>
  <c r="R35" i="1"/>
  <c r="P29" i="1"/>
  <c r="R29" i="1"/>
  <c r="R32" i="1"/>
  <c r="P36" i="1"/>
  <c r="R36" i="1"/>
  <c r="R38" i="1"/>
  <c r="R25" i="1"/>
  <c r="R17" i="1"/>
  <c r="P27" i="1"/>
  <c r="R27" i="1"/>
  <c r="R22" i="1"/>
  <c r="R15" i="1"/>
  <c r="R10" i="1"/>
  <c r="R18" i="1"/>
  <c r="P4" i="1"/>
  <c r="R4" i="1"/>
  <c r="P12" i="1"/>
  <c r="R12" i="1"/>
  <c r="P20" i="1"/>
  <c r="R20" i="1"/>
  <c r="P3" i="1"/>
  <c r="R3" i="1"/>
  <c r="P11" i="1"/>
  <c r="R11" i="1"/>
  <c r="P19" i="1"/>
  <c r="R19" i="1"/>
  <c r="R23" i="1"/>
  <c r="R34" i="1"/>
  <c r="R33" i="1"/>
  <c r="Q29" i="1"/>
  <c r="Q37" i="1"/>
  <c r="Q17" i="1"/>
  <c r="Q24" i="1"/>
  <c r="Q8" i="1"/>
  <c r="Q25" i="1"/>
  <c r="Q20" i="1"/>
  <c r="Q21" i="1"/>
  <c r="Q32" i="1"/>
  <c r="Q30" i="1"/>
  <c r="Q40" i="1"/>
  <c r="Q3" i="1"/>
  <c r="Q6" i="1"/>
  <c r="Q19" i="1"/>
  <c r="Q22" i="1"/>
  <c r="Q9" i="1"/>
  <c r="Q18" i="1"/>
  <c r="Q14" i="1"/>
  <c r="Q31" i="1"/>
  <c r="Q4" i="1"/>
  <c r="Q7" i="1"/>
  <c r="Q27" i="1"/>
  <c r="Q38" i="1"/>
  <c r="Q33" i="1"/>
  <c r="Q26" i="1"/>
  <c r="Q28" i="1"/>
  <c r="Q36" i="1"/>
  <c r="Q13" i="1"/>
  <c r="Q23" i="1"/>
  <c r="Q15" i="1"/>
  <c r="Q11" i="1"/>
  <c r="Q10" i="1"/>
  <c r="Q12" i="1"/>
  <c r="Q39" i="1"/>
  <c r="Q35" i="1"/>
  <c r="Q16" i="1"/>
  <c r="Q5" i="1"/>
  <c r="Q34" i="1"/>
  <c r="Q4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<sst xmlns="http://schemas.openxmlformats.org/spreadsheetml/2006/main" count="457" uniqueCount="171">
  <si>
    <t>movie_id</t>
  </si>
  <si>
    <t>title</t>
  </si>
  <si>
    <t>industry</t>
  </si>
  <si>
    <t>release_year</t>
  </si>
  <si>
    <t>imdb_rating</t>
  </si>
  <si>
    <t>studio</t>
  </si>
  <si>
    <t>language_id</t>
  </si>
  <si>
    <t>Language</t>
  </si>
  <si>
    <t>budget</t>
  </si>
  <si>
    <t>revenue</t>
  </si>
  <si>
    <t>unit</t>
  </si>
  <si>
    <t>currency</t>
  </si>
  <si>
    <t>budget (mln)</t>
  </si>
  <si>
    <t>revenue (mln)</t>
  </si>
  <si>
    <t>budget INR</t>
  </si>
  <si>
    <t>revenue INR</t>
  </si>
  <si>
    <t>budget USD</t>
  </si>
  <si>
    <t>revenue USD</t>
  </si>
  <si>
    <t>K.G.F: Chapter 2</t>
  </si>
  <si>
    <t>Bollywood</t>
  </si>
  <si>
    <t>Hombale Films</t>
  </si>
  <si>
    <t>Doctor Strange in the Multiverse of Madness</t>
  </si>
  <si>
    <t>Hollywood</t>
  </si>
  <si>
    <t>Marvel Studios</t>
  </si>
  <si>
    <t>Thor: The Dark World</t>
  </si>
  <si>
    <t>Thor: Ragnarok</t>
  </si>
  <si>
    <t>Thor: Love and Thunder</t>
  </si>
  <si>
    <t>Sholay</t>
  </si>
  <si>
    <t>United Producers</t>
  </si>
  <si>
    <t>Dilwale Dulhania Le Jayenge</t>
  </si>
  <si>
    <t>Yash Raj Films</t>
  </si>
  <si>
    <t>3 Idiots</t>
  </si>
  <si>
    <t>Vinod Chopra Films</t>
  </si>
  <si>
    <t>Kabhi Khushi Kabhie Gham</t>
  </si>
  <si>
    <t>Dharma Productions</t>
  </si>
  <si>
    <t>Bajirao Mastani</t>
  </si>
  <si>
    <t>Not Available</t>
  </si>
  <si>
    <t>The Shawshank Redemption</t>
  </si>
  <si>
    <t>Castle Rock Entertainment</t>
  </si>
  <si>
    <t>Inception</t>
  </si>
  <si>
    <t>Warner Bros. Pictures</t>
  </si>
  <si>
    <t>Interstellar</t>
  </si>
  <si>
    <t>The Pursuit of Happyness</t>
  </si>
  <si>
    <t>Columbia Pictures</t>
  </si>
  <si>
    <t>Gladiator</t>
  </si>
  <si>
    <t>Universal Pictures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</si>
  <si>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</si>
  <si>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</si>
  <si>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</si>
  <si>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</si>
  <si>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</si>
  <si>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</si>
  <si>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</si>
  <si>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</si>
  <si>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</si>
  <si>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</si>
  <si>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</si>
  <si>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</si>
  <si>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</si>
  <si>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</si>
  <si>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</si>
  <si>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</si>
  <si>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</si>
  <si>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</si>
  <si>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Vinod Chopra Productions</t>
  </si>
  <si>
    <t>PK</t>
  </si>
  <si>
    <t>Sanju</t>
  </si>
  <si>
    <t>NULL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</si>
  <si>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</si>
  <si>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</si>
  <si>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</si>
  <si>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</si>
  <si>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</si>
  <si>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</si>
  <si>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The Kashmir Files</t>
  </si>
  <si>
    <t>Zee Studios</t>
  </si>
  <si>
    <t>Bajrangi Bhaijaan</t>
  </si>
  <si>
    <t>Salman Khan Films</t>
  </si>
  <si>
    <t>Captain America: The First Avenger</t>
  </si>
  <si>
    <t>Captain America: The Winter Soldier</t>
  </si>
  <si>
    <t>Race 3</t>
  </si>
  <si>
    <t>Shershaah</t>
  </si>
  <si>
    <t xml:space="preserve">Details for Sum of revenue USD - industry: </t>
  </si>
  <si>
    <t>Billions</t>
  </si>
  <si>
    <t>INR</t>
  </si>
  <si>
    <t>Millions</t>
  </si>
  <si>
    <t>Total Movies</t>
  </si>
  <si>
    <t>Total Revenue</t>
  </si>
  <si>
    <t>Average Rating</t>
  </si>
  <si>
    <t>Sum of revenue USD</t>
  </si>
  <si>
    <t>Count of movie_id</t>
  </si>
  <si>
    <t>Grand Total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</si>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</sst>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₹&quot;* #,##0.00_);_(&quot;₹&quot;* \(#,##0.00\);_(&quot;₹&quot;* &quot;-&quot;??_);_(@_)"/>
    <numFmt numFmtId="165" formatCode="_([$$-409]* #,##0.00_);_([$$-409]* \(#,##0.00\);_([$$-409]* &quot;-&quot;??_);_(@_)"/>
    <numFmt numFmtId="166" formatCode="0.0"/>
    <numFmt numFmtId="167" formatCode="&quot;$&quot;#,##0.00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3" borderId="0" xfId="1" applyFont="1" applyFill="1"/>
    <xf numFmtId="165" fontId="0" fillId="3" borderId="0" xfId="1" applyNumberFormat="1" applyFont="1" applyFill="1"/>
    <xf numFmtId="166" fontId="0" fillId="0" borderId="0" xfId="0" applyNumberFormat="1"/>
    <xf numFmtId="9" fontId="0" fillId="0" borderId="0" xfId="2" applyFont="1"/>
    <xf numFmtId="164" fontId="0" fillId="0" borderId="0" xfId="1" applyFont="1" applyFill="1"/>
    <xf numFmtId="0" fontId="0" fillId="0" borderId="0" xfId="0" pivotButton="1"/>
    <xf numFmtId="167" fontId="0" fillId="0" borderId="0" xfId="0" applyNumberFormat="1"/>
    <xf numFmtId="0" fontId="3" fillId="0" borderId="0" xfId="0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7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72" formatCode="&quot;$&quot;\1\9\5\8\9.\2\6\ &quot;M&quot;"/>
    </dxf>
    <dxf>
      <numFmt numFmtId="167" formatCode="&quot;$&quot;#,##0.00"/>
    </dxf>
    <dxf>
      <numFmt numFmtId="167" formatCode="&quot;$&quot;#,##0.00"/>
    </dxf>
    <dxf>
      <numFmt numFmtId="167" formatCode="&quot;$&quot;#,##0.00"/>
    </dxf>
  </dxfs>
  <tableStyles count="1" defaultTableStyle="TableStyleMedium2" defaultPivotStyle="PivotStyleLight16">
    <tableStyle name="Invisible" pivot="0" table="0" count="0" xr9:uid="{AE843E39-C0BB-439B-8FFD-C1F7AAB2B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[movies_db analysis using excel 2.xlsx]PivotTables!PivotTable6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PivotTables!$E$4:$E$6</c:f>
              <c:strCache>
                <c:ptCount val="2"/>
                <c:pt idx="0">
                  <c:v>Bollywood</c:v>
                </c:pt>
                <c:pt idx="1">
                  <c:v>Hollywood</c:v>
                </c:pt>
              </c:strCache>
            </c:strRef>
          </c:cat>
          <c:val>
            <c:numRef>
              <c:f>PivotTables!$F$4:$F$6</c:f>
              <c:numCache>
                <c:formatCode>"$"#,##0.00</c:formatCode>
                <c:ptCount val="2"/>
                <c:pt idx="0">
                  <c:v>1011.3625</c:v>
                </c:pt>
                <c:pt idx="1">
                  <c:v>18577.900000000001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E-4F20-A5B5-EDA3735A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702920"/>
        <c:axId val="2065939976"/>
      </c:barChart>
      <c:catAx>
        <c:axId val="206570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39976"/>
        <c:crosses val="autoZero"/>
        <c:auto val="1"/>
        <c:lblAlgn val="ctr"/>
        <c:lblOffset val="100"/>
        <c:noMultiLvlLbl val="0"/>
      </c:catAx>
      <c:valAx>
        <c:axId val="206593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0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[movies_db analysis using excel 2.xlsx]PivotTables!PivotTable7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Movies Released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PivotTables!$H$4:$H$29</c:f>
              <c:strCache>
                <c:ptCount val="25"/>
                <c:pt idx="0">
                  <c:v>1946</c:v>
                </c:pt>
                <c:pt idx="1">
                  <c:v>1955</c:v>
                </c:pt>
                <c:pt idx="2">
                  <c:v>1972</c:v>
                </c:pt>
                <c:pt idx="3">
                  <c:v>1975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1997</c:v>
                </c:pt>
                <c:pt idx="8">
                  <c:v>2000</c:v>
                </c:pt>
                <c:pt idx="9">
                  <c:v>2001</c:v>
                </c:pt>
                <c:pt idx="10">
                  <c:v>2003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2021</c:v>
                </c:pt>
                <c:pt idx="24">
                  <c:v>2022</c:v>
                </c:pt>
              </c:strCache>
            </c:strRef>
          </c:cat>
          <c:val>
            <c:numRef>
              <c:f>PivotTables!$I$4:$I$29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9F8-ADC1-45D50E125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392136"/>
        <c:axId val="1913394184"/>
      </c:lineChart>
      <c:catAx>
        <c:axId val="191339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94184"/>
        <c:crosses val="autoZero"/>
        <c:auto val="1"/>
        <c:lblAlgn val="ctr"/>
        <c:lblOffset val="100"/>
        <c:noMultiLvlLbl val="0"/>
      </c:catAx>
      <c:valAx>
        <c:axId val="191339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9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[movies_db analysis using excel 2.xlsx]PivotTables!PivotTable8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Grossing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PivotTables!$K$4:$K$14</c:f>
              <c:strCache>
                <c:ptCount val="10"/>
                <c:pt idx="0">
                  <c:v>Interstellar</c:v>
                </c:pt>
                <c:pt idx="1">
                  <c:v>Captain America: The Winter Soldier</c:v>
                </c:pt>
                <c:pt idx="2">
                  <c:v>Thor: Ragnarok</c:v>
                </c:pt>
                <c:pt idx="3">
                  <c:v>Doctor Strange in the Multiverse of Madness</c:v>
                </c:pt>
                <c:pt idx="4">
                  <c:v>The Dark Knight</c:v>
                </c:pt>
                <c:pt idx="5">
                  <c:v>Jurassic Park</c:v>
                </c:pt>
                <c:pt idx="6">
                  <c:v>Avengers: Infinity War</c:v>
                </c:pt>
                <c:pt idx="7">
                  <c:v>Titanic</c:v>
                </c:pt>
                <c:pt idx="8">
                  <c:v>Avengers: Endgame</c:v>
                </c:pt>
                <c:pt idx="9">
                  <c:v>Avatar</c:v>
                </c:pt>
              </c:strCache>
            </c:strRef>
          </c:cat>
          <c:val>
            <c:numRef>
              <c:f>PivotTables!$L$4:$L$14</c:f>
              <c:numCache>
                <c:formatCode>"$"#,##0.00</c:formatCode>
                <c:ptCount val="10"/>
                <c:pt idx="0">
                  <c:v>701.8</c:v>
                </c:pt>
                <c:pt idx="1">
                  <c:v>714.4</c:v>
                </c:pt>
                <c:pt idx="2">
                  <c:v>854</c:v>
                </c:pt>
                <c:pt idx="3">
                  <c:v>954.8</c:v>
                </c:pt>
                <c:pt idx="4">
                  <c:v>1006</c:v>
                </c:pt>
                <c:pt idx="5">
                  <c:v>1046</c:v>
                </c:pt>
                <c:pt idx="6">
                  <c:v>2048</c:v>
                </c:pt>
                <c:pt idx="7">
                  <c:v>2202</c:v>
                </c:pt>
                <c:pt idx="8">
                  <c:v>2798</c:v>
                </c:pt>
                <c:pt idx="9">
                  <c:v>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B-43FB-B676-212C027C2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5651208"/>
        <c:axId val="1915065864"/>
      </c:barChart>
      <c:catAx>
        <c:axId val="206565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65864"/>
        <c:crosses val="autoZero"/>
        <c:auto val="1"/>
        <c:lblAlgn val="ctr"/>
        <c:lblOffset val="100"/>
        <c:noMultiLvlLbl val="0"/>
      </c:catAx>
      <c:valAx>
        <c:axId val="191506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5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[movies_db analysis using excel 2.xlsx]PivotTables!PivotTable9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Studios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PivotTables!$N$4:$N$14</c:f>
              <c:strCache>
                <c:ptCount val="10"/>
                <c:pt idx="0">
                  <c:v>Marvel Studios</c:v>
                </c:pt>
                <c:pt idx="1">
                  <c:v>20th Century Fox</c:v>
                </c:pt>
                <c:pt idx="2">
                  <c:v>Paramount Pictures</c:v>
                </c:pt>
                <c:pt idx="3">
                  <c:v>Universal Pictures</c:v>
                </c:pt>
                <c:pt idx="4">
                  <c:v>Syncopy</c:v>
                </c:pt>
                <c:pt idx="5">
                  <c:v>Warner Bros. Pictures</c:v>
                </c:pt>
                <c:pt idx="6">
                  <c:v>Not Available</c:v>
                </c:pt>
                <c:pt idx="7">
                  <c:v>Columbia Pictures</c:v>
                </c:pt>
                <c:pt idx="8">
                  <c:v>Vinod Chopra Films</c:v>
                </c:pt>
                <c:pt idx="9">
                  <c:v>Salman Khan Films</c:v>
                </c:pt>
              </c:strCache>
            </c:strRef>
          </c:cat>
          <c:val>
            <c:numRef>
              <c:f>PivotTables!$O$4:$O$14</c:f>
              <c:numCache>
                <c:formatCode>"$"#,##0.00</c:formatCode>
                <c:ptCount val="10"/>
                <c:pt idx="0">
                  <c:v>9054.6</c:v>
                </c:pt>
                <c:pt idx="1">
                  <c:v>2847</c:v>
                </c:pt>
                <c:pt idx="2">
                  <c:v>2493</c:v>
                </c:pt>
                <c:pt idx="3">
                  <c:v>1828.7</c:v>
                </c:pt>
                <c:pt idx="4">
                  <c:v>1006</c:v>
                </c:pt>
                <c:pt idx="5">
                  <c:v>701.8</c:v>
                </c:pt>
                <c:pt idx="6">
                  <c:v>323.72500000000002</c:v>
                </c:pt>
                <c:pt idx="7">
                  <c:v>307.10000000000002</c:v>
                </c:pt>
                <c:pt idx="8">
                  <c:v>230.5</c:v>
                </c:pt>
                <c:pt idx="9">
                  <c:v>184.875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B-4B8E-A8BE-9527FA50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976968"/>
        <c:axId val="2045151752"/>
      </c:barChart>
      <c:catAx>
        <c:axId val="203997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151752"/>
        <c:crosses val="autoZero"/>
        <c:auto val="1"/>
        <c:lblAlgn val="ctr"/>
        <c:lblOffset val="100"/>
        <c:noMultiLvlLbl val="0"/>
      </c:catAx>
      <c:valAx>
        <c:axId val="204515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7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Movies by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CA-4470-8018-6AAA05D766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CA-4470-8018-6AAA05D766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CA-4470-8018-6AAA05D766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CA-4470-8018-6AAA05D766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CA-4470-8018-6AAA05D76658}"/>
              </c:ext>
            </c:extLst>
          </c:dPt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5</c:v>
              </c:pt>
              <c:pt idx="4">
                <c:v>7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3</c:v>
              </c:pt>
              <c:pt idx="2">
                <c:v>1</c:v>
              </c:pt>
              <c:pt idx="3">
                <c:v>21</c:v>
              </c:pt>
              <c:pt idx="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8ACA-4470-8018-6AAA05D76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movies!$R$1:$R$13</c:f>
              <c:strCache>
                <c:ptCount val="13"/>
                <c:pt idx="0">
                  <c:v>revenue USD</c:v>
                </c:pt>
                <c:pt idx="1">
                  <c:v>156.25</c:v>
                </c:pt>
                <c:pt idx="2">
                  <c:v>954.8</c:v>
                </c:pt>
                <c:pt idx="3">
                  <c:v>644.8</c:v>
                </c:pt>
                <c:pt idx="4">
                  <c:v>854</c:v>
                </c:pt>
                <c:pt idx="5">
                  <c:v>670</c:v>
                </c:pt>
                <c:pt idx="6">
                  <c:v>Not Available</c:v>
                </c:pt>
                <c:pt idx="7">
                  <c:v>25</c:v>
                </c:pt>
                <c:pt idx="8">
                  <c:v>50</c:v>
                </c:pt>
                <c:pt idx="9">
                  <c:v>17</c:v>
                </c:pt>
                <c:pt idx="10">
                  <c:v>43.75</c:v>
                </c:pt>
                <c:pt idx="11">
                  <c:v>73.3</c:v>
                </c:pt>
                <c:pt idx="12">
                  <c:v>Not Available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movies!$Q$14:$Q$40</c:f>
              <c:numCache>
                <c:formatCode>General</c:formatCode>
                <c:ptCount val="27"/>
                <c:pt idx="0">
                  <c:v>165</c:v>
                </c:pt>
                <c:pt idx="1">
                  <c:v>55</c:v>
                </c:pt>
                <c:pt idx="2">
                  <c:v>103</c:v>
                </c:pt>
                <c:pt idx="3">
                  <c:v>200</c:v>
                </c:pt>
                <c:pt idx="4">
                  <c:v>3.18</c:v>
                </c:pt>
                <c:pt idx="5">
                  <c:v>237</c:v>
                </c:pt>
                <c:pt idx="6">
                  <c:v>7.2</c:v>
                </c:pt>
                <c:pt idx="7">
                  <c:v>185</c:v>
                </c:pt>
                <c:pt idx="8">
                  <c:v>22</c:v>
                </c:pt>
                <c:pt idx="9">
                  <c:v>63</c:v>
                </c:pt>
                <c:pt idx="10">
                  <c:v>15.5</c:v>
                </c:pt>
                <c:pt idx="11">
                  <c:v>400</c:v>
                </c:pt>
                <c:pt idx="12">
                  <c:v>400</c:v>
                </c:pt>
                <c:pt idx="13">
                  <c:v>0.875</c:v>
                </c:pt>
                <c:pt idx="14">
                  <c:v>1.5</c:v>
                </c:pt>
                <c:pt idx="15">
                  <c:v>1.25</c:v>
                </c:pt>
                <c:pt idx="16">
                  <c:v>10.625</c:v>
                </c:pt>
                <c:pt idx="17">
                  <c:v>12.5</c:v>
                </c:pt>
                <c:pt idx="18">
                  <c:v>25</c:v>
                </c:pt>
                <c:pt idx="19">
                  <c:v>68.75</c:v>
                </c:pt>
                <c:pt idx="20">
                  <c:v>22.5</c:v>
                </c:pt>
                <c:pt idx="21">
                  <c:v>3.125</c:v>
                </c:pt>
                <c:pt idx="22">
                  <c:v>11.25</c:v>
                </c:pt>
                <c:pt idx="23">
                  <c:v>216.7</c:v>
                </c:pt>
                <c:pt idx="24">
                  <c:v>177</c:v>
                </c:pt>
                <c:pt idx="25">
                  <c:v>22.5</c:v>
                </c:pt>
                <c:pt idx="26">
                  <c:v>6.25</c:v>
                </c:pt>
              </c:numCache>
            </c:numRef>
          </c:xVal>
          <c:yVal>
            <c:numRef>
              <c:f>movies!$R$14:$R$40</c:f>
              <c:numCache>
                <c:formatCode>General</c:formatCode>
                <c:ptCount val="27"/>
                <c:pt idx="0">
                  <c:v>701.8</c:v>
                </c:pt>
                <c:pt idx="1">
                  <c:v>307.10000000000002</c:v>
                </c:pt>
                <c:pt idx="2">
                  <c:v>460.5</c:v>
                </c:pt>
                <c:pt idx="3">
                  <c:v>2202</c:v>
                </c:pt>
                <c:pt idx="4">
                  <c:v>3.3</c:v>
                </c:pt>
                <c:pt idx="5">
                  <c:v>2847</c:v>
                </c:pt>
                <c:pt idx="6">
                  <c:v>291</c:v>
                </c:pt>
                <c:pt idx="7">
                  <c:v>1006</c:v>
                </c:pt>
                <c:pt idx="8">
                  <c:v>322.2</c:v>
                </c:pt>
                <c:pt idx="9">
                  <c:v>1046</c:v>
                </c:pt>
                <c:pt idx="10">
                  <c:v>263.10000000000002</c:v>
                </c:pt>
                <c:pt idx="11">
                  <c:v>2798</c:v>
                </c:pt>
                <c:pt idx="12">
                  <c:v>2048</c:v>
                </c:pt>
                <c:pt idx="13">
                  <c:v>1.25</c:v>
                </c:pt>
                <c:pt idx="14">
                  <c:v>16.875</c:v>
                </c:pt>
                <c:pt idx="15">
                  <c:v>5.125</c:v>
                </c:pt>
                <c:pt idx="16">
                  <c:v>106.75</c:v>
                </c:pt>
                <c:pt idx="17">
                  <c:v>73.75</c:v>
                </c:pt>
                <c:pt idx="18">
                  <c:v>45</c:v>
                </c:pt>
                <c:pt idx="19">
                  <c:v>150</c:v>
                </c:pt>
                <c:pt idx="20">
                  <c:v>81.25</c:v>
                </c:pt>
                <c:pt idx="21">
                  <c:v>42.612499999999997</c:v>
                </c:pt>
                <c:pt idx="22">
                  <c:v>146.125</c:v>
                </c:pt>
                <c:pt idx="23">
                  <c:v>370.6</c:v>
                </c:pt>
                <c:pt idx="24">
                  <c:v>714.4</c:v>
                </c:pt>
                <c:pt idx="25">
                  <c:v>38.75</c:v>
                </c:pt>
                <c:pt idx="26">
                  <c:v>11.875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6-4F78-BA8F-B0344380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47432"/>
        <c:axId val="2073906696"/>
      </c:scatterChart>
      <c:valAx>
        <c:axId val="207344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906696"/>
        <c:crosses val="autoZero"/>
        <c:crossBetween val="midCat"/>
      </c:valAx>
      <c:valAx>
        <c:axId val="207390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4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47625</xdr:colOff>
      <xdr:row>45</xdr:row>
      <xdr:rowOff>57150</xdr:rowOff>
    </xdr:from>
    <xdr:to>
      <xdr:col>15</xdr:col>
      <xdr:colOff>85725</xdr:colOff>
      <xdr:row>59</xdr:row>
      <xdr:rowOff>28575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Language">
              <a:extLst>
                <a:ext uri="{FF2B5EF4-FFF2-40B4-BE49-F238E27FC236}">
                  <a16:creationId xmlns:a16="http://schemas.microsoft.com/office/drawing/2014/main" id="{9804C40E-8CB0-303E-7432-8742BC31D1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nguag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68250" y="8629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10</xdr:row>
      <xdr:rowOff>161925</xdr:rowOff>
    </xdr:from>
    <xdr:to>
      <xdr:col>5</xdr:col>
      <xdr:colOff>0</xdr:colOff>
      <xdr:row>29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587428A-6E03-9A93-FE4E-920713C94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</xdr:row>
      <xdr:rowOff>38100</xdr:rowOff>
    </xdr:from>
    <xdr:to>
      <xdr:col>1</xdr:col>
      <xdr:colOff>1504950</xdr:colOff>
      <xdr:row>9</xdr:row>
      <xdr:rowOff>85725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56D61F0-75E4-1607-4D65-A061B619A90C}"/>
            </a:ext>
            <a:ext uri="{147F2762-F138-4A5C-976F-8EAC2B608ADB}">
              <a16:predDERef xmlns:a16="http://schemas.microsoft.com/office/drawing/2014/main" pred="{4587428A-6E03-9A93-FE4E-920713C94C0F}"/>
            </a:ext>
          </a:extLst>
        </xdr:cNvPr>
        <xdr:cNvSpPr/>
      </xdr:nvSpPr>
      <xdr:spPr>
        <a:xfrm>
          <a:off x="180975" y="609600"/>
          <a:ext cx="2476500" cy="119062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1">
              <a:solidFill>
                <a:schemeClr val="lt1"/>
              </a:solidFill>
              <a:latin typeface="+mn-lt"/>
              <a:ea typeface="+mn-lt"/>
              <a:cs typeface="+mn-lt"/>
            </a:rPr>
            <a:t>39</a:t>
          </a:r>
        </a:p>
      </xdr:txBody>
    </xdr:sp>
    <xdr:clientData/>
  </xdr:twoCellAnchor>
  <xdr:twoCellAnchor>
    <xdr:from>
      <xdr:col>0</xdr:col>
      <xdr:colOff>857250</xdr:colOff>
      <xdr:row>6</xdr:row>
      <xdr:rowOff>85725</xdr:rowOff>
    </xdr:from>
    <xdr:to>
      <xdr:col>1</xdr:col>
      <xdr:colOff>876300</xdr:colOff>
      <xdr:row>8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58BAFB-EAC6-7147-0EF3-C2EB3740481A}"/>
            </a:ext>
            <a:ext uri="{147F2762-F138-4A5C-976F-8EAC2B608ADB}">
              <a16:predDERef xmlns:a16="http://schemas.microsoft.com/office/drawing/2014/main" pred="{B56D61F0-75E4-1607-4D65-A061B619A90C}"/>
            </a:ext>
          </a:extLst>
        </xdr:cNvPr>
        <xdr:cNvSpPr txBox="1"/>
      </xdr:nvSpPr>
      <xdr:spPr>
        <a:xfrm>
          <a:off x="857250" y="1228725"/>
          <a:ext cx="1171575" cy="3810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>
              <a:latin typeface="+mn-lt"/>
              <a:ea typeface="+mn-lt"/>
              <a:cs typeface="+mn-lt"/>
            </a:rPr>
            <a:t>Total Movies</a:t>
          </a:r>
        </a:p>
      </xdr:txBody>
    </xdr:sp>
    <xdr:clientData/>
  </xdr:twoCellAnchor>
  <xdr:twoCellAnchor>
    <xdr:from>
      <xdr:col>13</xdr:col>
      <xdr:colOff>161925</xdr:colOff>
      <xdr:row>3</xdr:row>
      <xdr:rowOff>57150</xdr:rowOff>
    </xdr:from>
    <xdr:to>
      <xdr:col>17</xdr:col>
      <xdr:colOff>161925</xdr:colOff>
      <xdr:row>9</xdr:row>
      <xdr:rowOff>57150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56076E95-DB46-4C4E-B87A-AE99815C6DEB}"/>
            </a:ext>
            <a:ext uri="{147F2762-F138-4A5C-976F-8EAC2B608ADB}">
              <a16:predDERef xmlns:a16="http://schemas.microsoft.com/office/drawing/2014/main" pred="{5F58BAFB-EAC6-7147-0EF3-C2EB3740481A}"/>
            </a:ext>
          </a:extLst>
        </xdr:cNvPr>
        <xdr:cNvSpPr/>
      </xdr:nvSpPr>
      <xdr:spPr>
        <a:xfrm>
          <a:off x="10953750" y="628650"/>
          <a:ext cx="2438400" cy="11430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600" b="1">
              <a:solidFill>
                <a:schemeClr val="lt1"/>
              </a:solidFill>
              <a:latin typeface="+mn-lt"/>
              <a:ea typeface="+mn-lt"/>
              <a:cs typeface="+mn-lt"/>
            </a:rPr>
            <a:t>3.30B</a:t>
          </a:r>
        </a:p>
      </xdr:txBody>
    </xdr:sp>
    <xdr:clientData/>
  </xdr:twoCellAnchor>
  <xdr:twoCellAnchor>
    <xdr:from>
      <xdr:col>8</xdr:col>
      <xdr:colOff>409575</xdr:colOff>
      <xdr:row>3</xdr:row>
      <xdr:rowOff>47625</xdr:rowOff>
    </xdr:from>
    <xdr:to>
      <xdr:col>12</xdr:col>
      <xdr:colOff>361950</xdr:colOff>
      <xdr:row>9</xdr:row>
      <xdr:rowOff>38100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B007565-D099-42BF-A483-D5EC8C0A0B3C}"/>
            </a:ext>
            <a:ext uri="{147F2762-F138-4A5C-976F-8EAC2B608ADB}">
              <a16:predDERef xmlns:a16="http://schemas.microsoft.com/office/drawing/2014/main" pred="{56076E95-DB46-4C4E-B87A-AE99815C6DEB}"/>
            </a:ext>
          </a:extLst>
        </xdr:cNvPr>
        <xdr:cNvSpPr/>
      </xdr:nvSpPr>
      <xdr:spPr>
        <a:xfrm>
          <a:off x="8153400" y="619125"/>
          <a:ext cx="2390775" cy="113347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600" b="1">
              <a:solidFill>
                <a:schemeClr val="lt1"/>
              </a:solidFill>
              <a:latin typeface="+mn-lt"/>
              <a:ea typeface="+mn-lt"/>
              <a:cs typeface="+mn-lt"/>
            </a:rPr>
            <a:t>7.95</a:t>
          </a:r>
        </a:p>
      </xdr:txBody>
    </xdr:sp>
    <xdr:clientData/>
  </xdr:twoCellAnchor>
  <xdr:twoCellAnchor>
    <xdr:from>
      <xdr:col>8</xdr:col>
      <xdr:colOff>590550</xdr:colOff>
      <xdr:row>6</xdr:row>
      <xdr:rowOff>9525</xdr:rowOff>
    </xdr:from>
    <xdr:to>
      <xdr:col>12</xdr:col>
      <xdr:colOff>161925</xdr:colOff>
      <xdr:row>8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443C35-7BAA-49E3-ACE0-32707AA69211}"/>
            </a:ext>
            <a:ext uri="{147F2762-F138-4A5C-976F-8EAC2B608ADB}">
              <a16:predDERef xmlns:a16="http://schemas.microsoft.com/office/drawing/2014/main" pred="{5B007565-D099-42BF-A483-D5EC8C0A0B3C}"/>
            </a:ext>
          </a:extLst>
        </xdr:cNvPr>
        <xdr:cNvSpPr txBox="1"/>
      </xdr:nvSpPr>
      <xdr:spPr>
        <a:xfrm>
          <a:off x="8334375" y="1152525"/>
          <a:ext cx="2009775" cy="3810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latin typeface="+mn-lt"/>
              <a:ea typeface="+mn-lt"/>
              <a:cs typeface="+mn-lt"/>
            </a:rPr>
            <a:t>Average Rating</a:t>
          </a:r>
        </a:p>
      </xdr:txBody>
    </xdr:sp>
    <xdr:clientData/>
  </xdr:twoCellAnchor>
  <xdr:twoCellAnchor>
    <xdr:from>
      <xdr:col>13</xdr:col>
      <xdr:colOff>390525</xdr:colOff>
      <xdr:row>6</xdr:row>
      <xdr:rowOff>0</xdr:rowOff>
    </xdr:from>
    <xdr:to>
      <xdr:col>16</xdr:col>
      <xdr:colOff>571500</xdr:colOff>
      <xdr:row>8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D11DED-C560-4609-A012-0BAF299C1E6F}"/>
            </a:ext>
            <a:ext uri="{147F2762-F138-4A5C-976F-8EAC2B608ADB}">
              <a16:predDERef xmlns:a16="http://schemas.microsoft.com/office/drawing/2014/main" pred="{FF443C35-7BAA-49E3-ACE0-32707AA69211}"/>
            </a:ext>
          </a:extLst>
        </xdr:cNvPr>
        <xdr:cNvSpPr txBox="1"/>
      </xdr:nvSpPr>
      <xdr:spPr>
        <a:xfrm>
          <a:off x="11182350" y="1143000"/>
          <a:ext cx="2009775" cy="3810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latin typeface="+mn-lt"/>
              <a:ea typeface="+mn-lt"/>
              <a:cs typeface="+mn-lt"/>
            </a:rPr>
            <a:t>Total Budget</a:t>
          </a:r>
        </a:p>
      </xdr:txBody>
    </xdr:sp>
    <xdr:clientData/>
  </xdr:twoCellAnchor>
  <xdr:twoCellAnchor>
    <xdr:from>
      <xdr:col>2</xdr:col>
      <xdr:colOff>152400</xdr:colOff>
      <xdr:row>3</xdr:row>
      <xdr:rowOff>28575</xdr:rowOff>
    </xdr:from>
    <xdr:to>
      <xdr:col>4</xdr:col>
      <xdr:colOff>447675</xdr:colOff>
      <xdr:row>9</xdr:row>
      <xdr:rowOff>76200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63B96B7E-E2DB-4212-B3F0-1A735F896E03}"/>
            </a:ext>
            <a:ext uri="{147F2762-F138-4A5C-976F-8EAC2B608ADB}">
              <a16:predDERef xmlns:a16="http://schemas.microsoft.com/office/drawing/2014/main" pred="{B7D11DED-C560-4609-A012-0BAF299C1E6F}"/>
            </a:ext>
          </a:extLst>
        </xdr:cNvPr>
        <xdr:cNvSpPr/>
      </xdr:nvSpPr>
      <xdr:spPr>
        <a:xfrm>
          <a:off x="3038475" y="600075"/>
          <a:ext cx="2714625" cy="1190625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6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$19.59B</a:t>
          </a:r>
        </a:p>
      </xdr:txBody>
    </xdr:sp>
    <xdr:clientData/>
  </xdr:twoCellAnchor>
  <xdr:twoCellAnchor>
    <xdr:from>
      <xdr:col>2</xdr:col>
      <xdr:colOff>485775</xdr:colOff>
      <xdr:row>6</xdr:row>
      <xdr:rowOff>85725</xdr:rowOff>
    </xdr:from>
    <xdr:to>
      <xdr:col>4</xdr:col>
      <xdr:colOff>76200</xdr:colOff>
      <xdr:row>8</xdr:row>
      <xdr:rowOff>85725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0FFEAAA-3BC7-4AF8-8657-F76DC741FEA5}"/>
            </a:ext>
            <a:ext uri="{147F2762-F138-4A5C-976F-8EAC2B608ADB}">
              <a16:predDERef xmlns:a16="http://schemas.microsoft.com/office/drawing/2014/main" pred="{63B96B7E-E2DB-4212-B3F0-1A735F896E03}"/>
            </a:ext>
          </a:extLst>
        </xdr:cNvPr>
        <xdr:cNvSpPr txBox="1"/>
      </xdr:nvSpPr>
      <xdr:spPr>
        <a:xfrm>
          <a:off x="3371850" y="1228725"/>
          <a:ext cx="2009775" cy="3810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latin typeface="+mn-lt"/>
              <a:ea typeface="+mn-lt"/>
              <a:cs typeface="+mn-lt"/>
            </a:rPr>
            <a:t>Total Revenue</a:t>
          </a:r>
        </a:p>
      </xdr:txBody>
    </xdr:sp>
    <xdr:clientData/>
  </xdr:twoCellAnchor>
  <xdr:twoCellAnchor>
    <xdr:from>
      <xdr:col>5</xdr:col>
      <xdr:colOff>590550</xdr:colOff>
      <xdr:row>10</xdr:row>
      <xdr:rowOff>152400</xdr:rowOff>
    </xdr:from>
    <xdr:to>
      <xdr:col>17</xdr:col>
      <xdr:colOff>600075</xdr:colOff>
      <xdr:row>29</xdr:row>
      <xdr:rowOff>28575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60E0C58E-4985-A588-62CF-0AAC629D7E50}"/>
            </a:ext>
            <a:ext uri="{147F2762-F138-4A5C-976F-8EAC2B608ADB}">
              <a16:predDERef xmlns:a16="http://schemas.microsoft.com/office/drawing/2014/main" pred="{F0FFEAAA-3BC7-4AF8-8657-F76DC741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962025</xdr:colOff>
      <xdr:row>0</xdr:row>
      <xdr:rowOff>95250</xdr:rowOff>
    </xdr:from>
    <xdr:to>
      <xdr:col>15</xdr:col>
      <xdr:colOff>428625</xdr:colOff>
      <xdr:row>2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4021C53-4162-88D6-E204-52B423DA3935}"/>
            </a:ext>
            <a:ext uri="{147F2762-F138-4A5C-976F-8EAC2B608ADB}">
              <a16:predDERef xmlns:a16="http://schemas.microsoft.com/office/drawing/2014/main" pred="{60E0C58E-4985-A588-62CF-0AAC629D7E50}"/>
            </a:ext>
          </a:extLst>
        </xdr:cNvPr>
        <xdr:cNvSpPr txBox="1"/>
      </xdr:nvSpPr>
      <xdr:spPr>
        <a:xfrm>
          <a:off x="2114550" y="95250"/>
          <a:ext cx="103251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 b="1">
              <a:latin typeface="+mn-lt"/>
              <a:ea typeface="+mn-lt"/>
              <a:cs typeface="+mn-lt"/>
            </a:rPr>
            <a:t>Excel Movie Analytics Dashboard</a:t>
          </a:r>
        </a:p>
      </xdr:txBody>
    </xdr:sp>
    <xdr:clientData/>
  </xdr:twoCellAnchor>
  <xdr:twoCellAnchor>
    <xdr:from>
      <xdr:col>0</xdr:col>
      <xdr:colOff>171450</xdr:colOff>
      <xdr:row>10</xdr:row>
      <xdr:rowOff>0</xdr:rowOff>
    </xdr:from>
    <xdr:to>
      <xdr:col>18</xdr:col>
      <xdr:colOff>581025</xdr:colOff>
      <xdr:row>10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70399FF-7C72-778C-F400-18B5CD3E6425}"/>
            </a:ext>
            <a:ext uri="{147F2762-F138-4A5C-976F-8EAC2B608ADB}">
              <a16:predDERef xmlns:a16="http://schemas.microsoft.com/office/drawing/2014/main" pred="{14021C53-4162-88D6-E204-52B423DA3935}"/>
            </a:ext>
          </a:extLst>
        </xdr:cNvPr>
        <xdr:cNvCxnSpPr>
          <a:cxnSpLocks/>
        </xdr:cNvCxnSpPr>
      </xdr:nvCxnSpPr>
      <xdr:spPr>
        <a:xfrm flipV="1">
          <a:off x="171450" y="1905000"/>
          <a:ext cx="142494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209550</xdr:colOff>
      <xdr:row>30</xdr:row>
      <xdr:rowOff>180975</xdr:rowOff>
    </xdr:from>
    <xdr:to>
      <xdr:col>19</xdr:col>
      <xdr:colOff>0</xdr:colOff>
      <xdr:row>31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B6588DF-7E55-4F5F-BE8F-F5A2ED130675}"/>
            </a:ext>
            <a:ext uri="{147F2762-F138-4A5C-976F-8EAC2B608ADB}">
              <a16:predDERef xmlns:a16="http://schemas.microsoft.com/office/drawing/2014/main" pred="{670399FF-7C72-778C-F400-18B5CD3E6425}"/>
            </a:ext>
          </a:extLst>
        </xdr:cNvPr>
        <xdr:cNvCxnSpPr>
          <a:cxnSpLocks/>
        </xdr:cNvCxnSpPr>
      </xdr:nvCxnSpPr>
      <xdr:spPr>
        <a:xfrm>
          <a:off x="209550" y="5895975"/>
          <a:ext cx="14239875" cy="952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32</xdr:row>
      <xdr:rowOff>9525</xdr:rowOff>
    </xdr:from>
    <xdr:to>
      <xdr:col>5</xdr:col>
      <xdr:colOff>0</xdr:colOff>
      <xdr:row>49</xdr:row>
      <xdr:rowOff>9525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296FD69C-6493-9081-8CE9-8DF038C27B0F}"/>
            </a:ext>
            <a:ext uri="{147F2762-F138-4A5C-976F-8EAC2B608ADB}">
              <a16:predDERef xmlns:a16="http://schemas.microsoft.com/office/drawing/2014/main" pred="{FB6588DF-7E55-4F5F-BE8F-F5A2ED130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600075</xdr:colOff>
      <xdr:row>31</xdr:row>
      <xdr:rowOff>152400</xdr:rowOff>
    </xdr:from>
    <xdr:to>
      <xdr:col>18</xdr:col>
      <xdr:colOff>9525</xdr:colOff>
      <xdr:row>48</xdr:row>
      <xdr:rowOff>161925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A1E9AD92-70C1-B864-C31F-DC1BE071D065}"/>
            </a:ext>
            <a:ext uri="{147F2762-F138-4A5C-976F-8EAC2B608ADB}">
              <a16:predDERef xmlns:a16="http://schemas.microsoft.com/office/drawing/2014/main" pred="{296FD69C-6493-9081-8CE9-8DF038C27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51</xdr:row>
      <xdr:rowOff>19050</xdr:rowOff>
    </xdr:from>
    <xdr:to>
      <xdr:col>5</xdr:col>
      <xdr:colOff>9525</xdr:colOff>
      <xdr:row>69</xdr:row>
      <xdr:rowOff>152400</xdr:rowOff>
    </xdr:to>
    <xdr:graphicFrame macro="">
      <xdr:nvGraphicFramePr>
        <xdr:cNvPr id="22" name="Chart 6">
          <a:extLst>
            <a:ext uri="{FF2B5EF4-FFF2-40B4-BE49-F238E27FC236}">
              <a16:creationId xmlns:a16="http://schemas.microsoft.com/office/drawing/2014/main" id="{A092C64D-F560-08E7-F1DC-B991F929C156}"/>
            </a:ext>
            <a:ext uri="{147F2762-F138-4A5C-976F-8EAC2B608ADB}">
              <a16:predDERef xmlns:a16="http://schemas.microsoft.com/office/drawing/2014/main" pred="{A1E9AD92-70C1-B864-C31F-DC1BE071D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219075</xdr:colOff>
      <xdr:row>50</xdr:row>
      <xdr:rowOff>9525</xdr:rowOff>
    </xdr:from>
    <xdr:to>
      <xdr:col>18</xdr:col>
      <xdr:colOff>600075</xdr:colOff>
      <xdr:row>50</xdr:row>
      <xdr:rowOff>9525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67E33BD-2D3F-4EBD-951D-2E19366390A6}"/>
            </a:ext>
            <a:ext uri="{147F2762-F138-4A5C-976F-8EAC2B608ADB}">
              <a16:predDERef xmlns:a16="http://schemas.microsoft.com/office/drawing/2014/main" pred="{A092C64D-F560-08E7-F1DC-B991F929C156}"/>
            </a:ext>
          </a:extLst>
        </xdr:cNvPr>
        <xdr:cNvCxnSpPr>
          <a:cxnSpLocks/>
        </xdr:cNvCxnSpPr>
      </xdr:nvCxnSpPr>
      <xdr:spPr>
        <a:xfrm flipV="1">
          <a:off x="219075" y="9534525"/>
          <a:ext cx="142208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152400</xdr:rowOff>
    </xdr:from>
    <xdr:to>
      <xdr:col>18</xdr:col>
      <xdr:colOff>9525</xdr:colOff>
      <xdr:row>69</xdr:row>
      <xdr:rowOff>180975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80CC44BF-B88B-09E6-7D62-0A21225F6138}"/>
            </a:ext>
            <a:ext uri="{147F2762-F138-4A5C-976F-8EAC2B608ADB}">
              <a16:predDERef xmlns:a16="http://schemas.microsoft.com/office/drawing/2014/main" pred="{967E33BD-2D3F-4EBD-951D-2E1936639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257175</xdr:colOff>
      <xdr:row>10</xdr:row>
      <xdr:rowOff>171450</xdr:rowOff>
    </xdr:from>
    <xdr:to>
      <xdr:col>21</xdr:col>
      <xdr:colOff>276225</xdr:colOff>
      <xdr:row>29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industry 1">
              <a:extLst>
                <a:ext uri="{FF2B5EF4-FFF2-40B4-BE49-F238E27FC236}">
                  <a16:creationId xmlns:a16="http://schemas.microsoft.com/office/drawing/2014/main" id="{D90EA93C-2F28-69FE-3A3D-20A4D6E557D4}"/>
                </a:ext>
                <a:ext uri="{147F2762-F138-4A5C-976F-8EAC2B608ADB}">
                  <a16:predDERef xmlns:a16="http://schemas.microsoft.com/office/drawing/2014/main" pred="{80CC44BF-B88B-09E6-7D62-0A21225F6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us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97000" y="2076450"/>
              <a:ext cx="1847850" cy="3476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228600</xdr:colOff>
      <xdr:row>31</xdr:row>
      <xdr:rowOff>171450</xdr:rowOff>
    </xdr:from>
    <xdr:to>
      <xdr:col>21</xdr:col>
      <xdr:colOff>257175</xdr:colOff>
      <xdr:row>49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release_year 1">
              <a:extLst>
                <a:ext uri="{FF2B5EF4-FFF2-40B4-BE49-F238E27FC236}">
                  <a16:creationId xmlns:a16="http://schemas.microsoft.com/office/drawing/2014/main" id="{F17D2429-1257-F050-03EF-D36FCB4A559B}"/>
                </a:ext>
                <a:ext uri="{147F2762-F138-4A5C-976F-8EAC2B608ADB}">
                  <a16:predDERef xmlns:a16="http://schemas.microsoft.com/office/drawing/2014/main" pred="{D90EA93C-2F28-69FE-3A3D-20A4D6E55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lease_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68425" y="6076950"/>
              <a:ext cx="1857375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228600</xdr:colOff>
      <xdr:row>50</xdr:row>
      <xdr:rowOff>152400</xdr:rowOff>
    </xdr:from>
    <xdr:to>
      <xdr:col>21</xdr:col>
      <xdr:colOff>276225</xdr:colOff>
      <xdr:row>70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language_id">
              <a:extLst>
                <a:ext uri="{FF2B5EF4-FFF2-40B4-BE49-F238E27FC236}">
                  <a16:creationId xmlns:a16="http://schemas.microsoft.com/office/drawing/2014/main" id="{8128EF89-B775-EA1B-4099-D0E5CEB3BF82}"/>
                </a:ext>
                <a:ext uri="{147F2762-F138-4A5C-976F-8EAC2B608ADB}">
                  <a16:predDERef xmlns:a16="http://schemas.microsoft.com/office/drawing/2014/main" pred="{F17D2429-1257-F050-03EF-D36FCB4A55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nguage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68425" y="9677400"/>
              <a:ext cx="1876425" cy="3667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143651157407" createdVersion="8" refreshedVersion="8" minRefreshableVersion="3" recordCount="39" xr:uid="{8387E734-9B7A-405B-ADE9-46BD222964E5}">
  <cacheSource type="worksheet">
    <worksheetSource name="tblMovies"/>
  </cacheSource>
  <cacheFields count="17">
    <cacheField name="movie_id" numFmtId="0">
      <sharedItems containsSemiMixedTypes="0" containsString="0" containsNumber="1" containsInteger="1" minValue="101" maxValue="140" count="39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</sharedItems>
    </cacheField>
    <cacheField name="title" numFmtId="0">
      <sharedItems count="39">
        <s v="K.G.F: Chapter 2"/>
        <s v="Doctor Strange in the Multiverse of Madness"/>
        <s v="Thor: The Dark World"/>
        <s v="Thor: Ragnarok"/>
        <s v="Thor: Love and Thunder"/>
        <s v="Sholay"/>
        <s v="Dilwale Dulhania Le Jayenge"/>
        <s v="3 Idiots"/>
        <s v="Kabhi Khushi Kabhie Gham"/>
        <s v="Bajirao Mastani"/>
        <s v="The Shawshank Redemption"/>
        <s v="Inception"/>
        <s v="Interstellar"/>
        <s v="The Pursuit of Happyness"/>
        <s v="Gladiator"/>
        <s v="Titanic"/>
        <s v="It's a Wonderful Life"/>
        <s v="Avatar"/>
        <s v="The Godfather"/>
        <s v="The Dark Knight"/>
        <s v="Schindler's List"/>
        <s v="Jurassic Park"/>
        <s v="Parasite"/>
        <s v="Avengers: Endgame"/>
        <s v="Avengers: Infinity War"/>
        <s v="Pather Panchali"/>
        <s v="Taare Zameen Par"/>
        <s v="Munna Bhai M.B.B.S."/>
        <s v="PK"/>
        <s v="Sanju"/>
        <s v="Pushpa: The Rise - Part 1"/>
        <s v="RRR"/>
        <s v="Baahubali: The Beginning"/>
        <s v="The Kashmir Files"/>
        <s v="Bajrangi Bhaijaan"/>
        <s v="Captain America: The First Avenger"/>
        <s v="Captain America: The Winter Soldier"/>
        <s v="Race 3"/>
        <s v="Shershaah"/>
      </sharedItems>
    </cacheField>
    <cacheField name="industry" numFmtId="0">
      <sharedItems count="2">
        <s v="Bollywood"/>
        <s v="Hollywood"/>
      </sharedItems>
    </cacheField>
    <cacheField name="release_year" numFmtId="0">
      <sharedItems containsSemiMixedTypes="0" containsString="0" containsNumber="1" containsInteger="1" minValue="1946" maxValue="2022" count="25">
        <n v="2022"/>
        <n v="2013"/>
        <n v="2017"/>
        <n v="1975"/>
        <n v="1995"/>
        <n v="2009"/>
        <n v="2001"/>
        <n v="2015"/>
        <n v="1994"/>
        <n v="2010"/>
        <n v="2014"/>
        <n v="2006"/>
        <n v="2000"/>
        <n v="1997"/>
        <n v="1946"/>
        <n v="1972"/>
        <n v="2008"/>
        <n v="1993"/>
        <n v="2019"/>
        <n v="2018"/>
        <n v="1955"/>
        <n v="2007"/>
        <n v="2003"/>
        <n v="2021"/>
        <n v="2011"/>
      </sharedItems>
    </cacheField>
    <cacheField name="imdb_rating" numFmtId="0">
      <sharedItems containsMixedTypes="1" containsNumber="1" minValue="1.9" maxValue="9.3000000000000007"/>
    </cacheField>
    <cacheField name="studio" numFmtId="0">
      <sharedItems count="22">
        <s v="Hombale Films"/>
        <s v="Marvel Studios"/>
        <s v="United Producers"/>
        <s v="Yash Raj Films"/>
        <s v="Vinod Chopra Films"/>
        <s v="Dharma Productions"/>
        <s v="Not Available"/>
        <s v="Castle Rock Entertainment"/>
        <s v="Warner Bros. Pictures"/>
        <s v="Columbia Pictures"/>
        <s v="Universal Pictures"/>
        <s v="Paramount Pictures"/>
        <s v="Liberty Films"/>
        <s v="20th Century Fox"/>
        <s v="Syncopy"/>
        <s v="Government of West Bengal"/>
        <s v="Vinod Chopra Productions"/>
        <s v="Mythri Movie Makers"/>
        <s v="DVV Entertainment"/>
        <s v="Arka Media Works"/>
        <s v="Zee Studios"/>
        <s v="Salman Khan Films"/>
      </sharedItems>
    </cacheField>
    <cacheField name="language_id" numFmtId="0">
      <sharedItems containsSemiMixedTypes="0" containsString="0" containsNumber="1" containsInteger="1" minValue="1" maxValue="7" count="5">
        <n v="3"/>
        <n v="5"/>
        <n v="1"/>
        <n v="7"/>
        <n v="2"/>
      </sharedItems>
    </cacheField>
    <cacheField name="budget" numFmtId="0">
      <sharedItems containsMixedTypes="1" containsNumber="1" minValue="1" maxValue="900"/>
    </cacheField>
    <cacheField name="revenue" numFmtId="0">
      <sharedItems containsMixedTypes="1" containsNumber="1" minValue="3.1" maxValue="11690"/>
    </cacheField>
    <cacheField name="unit" numFmtId="0">
      <sharedItems/>
    </cacheField>
    <cacheField name="currency" numFmtId="0">
      <sharedItems/>
    </cacheField>
    <cacheField name="budget (mln)" numFmtId="0">
      <sharedItems containsMixedTypes="1" containsNumber="1" minValue="3.18" maxValue="5500"/>
    </cacheField>
    <cacheField name="revenue (mln)" numFmtId="0">
      <sharedItems containsMixedTypes="1" containsNumber="1" minValue="3.3" maxValue="12500"/>
    </cacheField>
    <cacheField name="budget INR" numFmtId="0">
      <sharedItems containsMixedTypes="1" containsNumber="1" minValue="70" maxValue="32000"/>
    </cacheField>
    <cacheField name="revenue INR" numFmtId="0">
      <sharedItems containsMixedTypes="1" containsNumber="1" containsInteger="1" minValue="100" maxValue="227760"/>
    </cacheField>
    <cacheField name="budget USD" numFmtId="0">
      <sharedItems containsMixedTypes="1" containsNumber="1" minValue="0.875" maxValue="400"/>
    </cacheField>
    <cacheField name="revenue USD" numFmtId="0">
      <sharedItems containsMixedTypes="1" containsNumber="1" minValue="1.25" maxValue="2847"/>
    </cacheField>
  </cacheFields>
  <extLst>
    <ext xmlns:x14="http://schemas.microsoft.com/office/spreadsheetml/2009/9/main" uri="{725AE2AE-9491-48be-B2B4-4EB974FC3084}">
      <x14:pivotCacheDefinition pivotCacheId="17812036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x v="0"/>
    <x v="0"/>
    <n v="8.4"/>
    <x v="0"/>
    <x v="0"/>
    <n v="1"/>
    <n v="12.5"/>
    <s v="Billions"/>
    <s v="INR"/>
    <n v="1000"/>
    <n v="12500"/>
    <n v="1000"/>
    <n v="12500"/>
    <n v="12.5"/>
    <n v="156.25"/>
  </r>
  <r>
    <x v="1"/>
    <x v="1"/>
    <x v="1"/>
    <x v="0"/>
    <n v="7"/>
    <x v="1"/>
    <x v="1"/>
    <n v="200"/>
    <n v="954.8"/>
    <s v="Millions"/>
    <s v="USD"/>
    <n v="200"/>
    <n v="954.8"/>
    <n v="16000"/>
    <n v="76384"/>
    <n v="200"/>
    <n v="954.8"/>
  </r>
  <r>
    <x v="2"/>
    <x v="2"/>
    <x v="1"/>
    <x v="1"/>
    <n v="6.8"/>
    <x v="1"/>
    <x v="1"/>
    <n v="165"/>
    <n v="644.79999999999995"/>
    <s v="Millions"/>
    <s v="USD"/>
    <n v="165"/>
    <n v="644.79999999999995"/>
    <n v="13200"/>
    <n v="51584"/>
    <n v="165"/>
    <n v="644.79999999999995"/>
  </r>
  <r>
    <x v="3"/>
    <x v="3"/>
    <x v="1"/>
    <x v="2"/>
    <n v="7.9"/>
    <x v="1"/>
    <x v="1"/>
    <n v="180"/>
    <n v="854"/>
    <s v="Millions"/>
    <s v="USD"/>
    <n v="180"/>
    <n v="854"/>
    <n v="14400"/>
    <n v="68320"/>
    <n v="180"/>
    <n v="854"/>
  </r>
  <r>
    <x v="4"/>
    <x v="4"/>
    <x v="1"/>
    <x v="0"/>
    <n v="6.8"/>
    <x v="1"/>
    <x v="1"/>
    <n v="250"/>
    <n v="670"/>
    <s v="Millions"/>
    <s v="USD"/>
    <n v="250"/>
    <n v="670"/>
    <n v="20000"/>
    <n v="53600"/>
    <n v="250"/>
    <n v="670"/>
  </r>
  <r>
    <x v="5"/>
    <x v="5"/>
    <x v="0"/>
    <x v="3"/>
    <n v="8.1"/>
    <x v="2"/>
    <x v="2"/>
    <s v="Not Available"/>
    <s v="Not Available"/>
    <s v="Not Available"/>
    <s v="Not Available"/>
    <s v="Not Available"/>
    <s v="Not Available"/>
    <s v="Not Available"/>
    <s v="Not Available"/>
    <s v="Not Available"/>
    <s v="Not Available"/>
  </r>
  <r>
    <x v="6"/>
    <x v="6"/>
    <x v="0"/>
    <x v="4"/>
    <n v="8"/>
    <x v="3"/>
    <x v="2"/>
    <n v="400"/>
    <n v="2000"/>
    <s v="Millions"/>
    <s v="INR"/>
    <n v="400"/>
    <n v="2000"/>
    <n v="400"/>
    <n v="2000"/>
    <n v="5"/>
    <n v="25"/>
  </r>
  <r>
    <x v="7"/>
    <x v="7"/>
    <x v="0"/>
    <x v="5"/>
    <n v="8.4"/>
    <x v="4"/>
    <x v="2"/>
    <n v="550"/>
    <n v="4000"/>
    <s v="Millions"/>
    <s v="INR"/>
    <n v="550"/>
    <n v="4000"/>
    <n v="550"/>
    <n v="4000"/>
    <n v="6.875"/>
    <n v="50"/>
  </r>
  <r>
    <x v="8"/>
    <x v="8"/>
    <x v="0"/>
    <x v="6"/>
    <n v="7.4"/>
    <x v="5"/>
    <x v="2"/>
    <n v="390"/>
    <n v="1360"/>
    <s v="Millions"/>
    <s v="INR"/>
    <n v="390"/>
    <n v="1360"/>
    <n v="390"/>
    <n v="1360"/>
    <n v="4.875"/>
    <n v="17"/>
  </r>
  <r>
    <x v="9"/>
    <x v="9"/>
    <x v="0"/>
    <x v="7"/>
    <n v="7.2"/>
    <x v="6"/>
    <x v="2"/>
    <n v="1.4"/>
    <n v="3.5"/>
    <s v="Billions"/>
    <s v="INR"/>
    <n v="1400"/>
    <n v="3500"/>
    <n v="1400"/>
    <n v="3500"/>
    <n v="17.5"/>
    <n v="43.75"/>
  </r>
  <r>
    <x v="10"/>
    <x v="10"/>
    <x v="1"/>
    <x v="8"/>
    <n v="9.3000000000000007"/>
    <x v="7"/>
    <x v="1"/>
    <n v="25"/>
    <n v="73.3"/>
    <s v="Millions"/>
    <s v="USD"/>
    <n v="25"/>
    <n v="73.3"/>
    <n v="2000"/>
    <n v="5864"/>
    <n v="25"/>
    <n v="73.3"/>
  </r>
  <r>
    <x v="11"/>
    <x v="11"/>
    <x v="1"/>
    <x v="9"/>
    <n v="8.8000000000000007"/>
    <x v="8"/>
    <x v="1"/>
    <s v="Not Available"/>
    <s v="Not Available"/>
    <s v="Not Available"/>
    <s v="Not Available"/>
    <s v="Not Available"/>
    <s v="Not Available"/>
    <s v="Not Available"/>
    <s v="Not Available"/>
    <s v="Not Available"/>
    <s v="Not Available"/>
  </r>
  <r>
    <x v="12"/>
    <x v="12"/>
    <x v="1"/>
    <x v="10"/>
    <n v="8.6"/>
    <x v="8"/>
    <x v="1"/>
    <n v="165"/>
    <n v="701.8"/>
    <s v="Millions"/>
    <s v="USD"/>
    <n v="165"/>
    <n v="701.8"/>
    <n v="13200"/>
    <n v="56144"/>
    <n v="165"/>
    <n v="701.8"/>
  </r>
  <r>
    <x v="13"/>
    <x v="13"/>
    <x v="1"/>
    <x v="11"/>
    <n v="8"/>
    <x v="9"/>
    <x v="1"/>
    <n v="55"/>
    <n v="307.10000000000002"/>
    <s v="Millions"/>
    <s v="USD"/>
    <n v="55"/>
    <n v="307.10000000000002"/>
    <n v="4400"/>
    <n v="24568"/>
    <n v="55"/>
    <n v="307.10000000000002"/>
  </r>
  <r>
    <x v="14"/>
    <x v="14"/>
    <x v="1"/>
    <x v="12"/>
    <n v="8.5"/>
    <x v="10"/>
    <x v="1"/>
    <n v="103"/>
    <n v="460.5"/>
    <s v="Millions"/>
    <s v="USD"/>
    <n v="103"/>
    <n v="460.5"/>
    <n v="8240"/>
    <n v="36840"/>
    <n v="103"/>
    <n v="460.5"/>
  </r>
  <r>
    <x v="15"/>
    <x v="15"/>
    <x v="1"/>
    <x v="13"/>
    <n v="7.9"/>
    <x v="11"/>
    <x v="1"/>
    <n v="200"/>
    <n v="2202"/>
    <s v="Millions"/>
    <s v="USD"/>
    <n v="200"/>
    <n v="2202"/>
    <n v="16000"/>
    <n v="176160"/>
    <n v="200"/>
    <n v="2202"/>
  </r>
  <r>
    <x v="16"/>
    <x v="16"/>
    <x v="1"/>
    <x v="14"/>
    <n v="8.6"/>
    <x v="12"/>
    <x v="1"/>
    <n v="3.18"/>
    <n v="3.3"/>
    <s v="Millions"/>
    <s v="USD"/>
    <n v="3.18"/>
    <n v="3.3"/>
    <n v="254.4"/>
    <n v="264"/>
    <n v="3.18"/>
    <n v="3.3"/>
  </r>
  <r>
    <x v="17"/>
    <x v="17"/>
    <x v="1"/>
    <x v="5"/>
    <n v="7.8"/>
    <x v="13"/>
    <x v="1"/>
    <n v="237"/>
    <n v="2847"/>
    <s v="Millions"/>
    <s v="USD"/>
    <n v="237"/>
    <n v="2847"/>
    <n v="18960"/>
    <n v="227760"/>
    <n v="237"/>
    <n v="2847"/>
  </r>
  <r>
    <x v="18"/>
    <x v="18"/>
    <x v="1"/>
    <x v="15"/>
    <n v="9.1999999999999993"/>
    <x v="11"/>
    <x v="1"/>
    <n v="7.2"/>
    <n v="291"/>
    <s v="Millions"/>
    <s v="USD"/>
    <n v="7.2"/>
    <n v="291"/>
    <n v="576"/>
    <n v="23280"/>
    <n v="7.2"/>
    <n v="291"/>
  </r>
  <r>
    <x v="19"/>
    <x v="19"/>
    <x v="1"/>
    <x v="16"/>
    <n v="9"/>
    <x v="14"/>
    <x v="1"/>
    <n v="185"/>
    <n v="1006"/>
    <s v="Millions"/>
    <s v="USD"/>
    <n v="185"/>
    <n v="1006"/>
    <n v="14800"/>
    <n v="80480"/>
    <n v="185"/>
    <n v="1006"/>
  </r>
  <r>
    <x v="20"/>
    <x v="20"/>
    <x v="1"/>
    <x v="17"/>
    <n v="9"/>
    <x v="10"/>
    <x v="1"/>
    <n v="22"/>
    <n v="322.2"/>
    <s v="Millions"/>
    <s v="USD"/>
    <n v="22"/>
    <n v="322.2"/>
    <n v="1760"/>
    <n v="25776"/>
    <n v="22"/>
    <n v="322.2"/>
  </r>
  <r>
    <x v="21"/>
    <x v="21"/>
    <x v="1"/>
    <x v="17"/>
    <n v="8.1999999999999993"/>
    <x v="10"/>
    <x v="1"/>
    <n v="63"/>
    <n v="1046"/>
    <s v="Millions"/>
    <s v="USD"/>
    <n v="63"/>
    <n v="1046"/>
    <n v="5040"/>
    <n v="83680"/>
    <n v="63"/>
    <n v="1046"/>
  </r>
  <r>
    <x v="22"/>
    <x v="22"/>
    <x v="1"/>
    <x v="18"/>
    <n v="8.5"/>
    <x v="6"/>
    <x v="1"/>
    <n v="15.5"/>
    <n v="263.10000000000002"/>
    <s v="Millions"/>
    <s v="USD"/>
    <n v="15.5"/>
    <n v="263.10000000000002"/>
    <n v="1240"/>
    <n v="21048"/>
    <n v="15.5"/>
    <n v="263.10000000000002"/>
  </r>
  <r>
    <x v="23"/>
    <x v="23"/>
    <x v="1"/>
    <x v="18"/>
    <n v="8.4"/>
    <x v="1"/>
    <x v="1"/>
    <n v="400"/>
    <n v="2798"/>
    <s v="Millions"/>
    <s v="USD"/>
    <n v="400"/>
    <n v="2798"/>
    <n v="32000"/>
    <n v="223840"/>
    <n v="400"/>
    <n v="2798"/>
  </r>
  <r>
    <x v="24"/>
    <x v="24"/>
    <x v="1"/>
    <x v="19"/>
    <n v="8.4"/>
    <x v="1"/>
    <x v="1"/>
    <n v="400"/>
    <n v="2048"/>
    <s v="Millions"/>
    <s v="USD"/>
    <n v="400"/>
    <n v="2048"/>
    <n v="32000"/>
    <n v="163840"/>
    <n v="400"/>
    <n v="2048"/>
  </r>
  <r>
    <x v="25"/>
    <x v="25"/>
    <x v="0"/>
    <x v="20"/>
    <n v="8.3000000000000007"/>
    <x v="15"/>
    <x v="3"/>
    <n v="70"/>
    <n v="100"/>
    <s v="Millions"/>
    <s v="INR"/>
    <n v="70"/>
    <n v="100"/>
    <n v="70"/>
    <n v="100"/>
    <n v="0.875"/>
    <n v="1.25"/>
  </r>
  <r>
    <x v="26"/>
    <x v="26"/>
    <x v="0"/>
    <x v="21"/>
    <n v="8.3000000000000007"/>
    <x v="6"/>
    <x v="2"/>
    <n v="120"/>
    <n v="1350"/>
    <s v="Millions"/>
    <s v="INR"/>
    <n v="120"/>
    <n v="1350"/>
    <n v="120"/>
    <n v="1350"/>
    <n v="1.5"/>
    <n v="16.875"/>
  </r>
  <r>
    <x v="27"/>
    <x v="27"/>
    <x v="0"/>
    <x v="22"/>
    <n v="8.1"/>
    <x v="16"/>
    <x v="2"/>
    <n v="100"/>
    <n v="410"/>
    <s v="Millions"/>
    <s v="INR"/>
    <n v="100"/>
    <n v="410"/>
    <n v="100"/>
    <n v="410"/>
    <n v="1.25"/>
    <n v="5.125"/>
  </r>
  <r>
    <x v="28"/>
    <x v="28"/>
    <x v="0"/>
    <x v="10"/>
    <n v="8.1"/>
    <x v="4"/>
    <x v="2"/>
    <n v="850"/>
    <n v="8540"/>
    <s v="Millions"/>
    <s v="INR"/>
    <n v="850"/>
    <n v="8540"/>
    <n v="850"/>
    <n v="8540"/>
    <n v="10.625"/>
    <n v="106.75"/>
  </r>
  <r>
    <x v="29"/>
    <x v="29"/>
    <x v="0"/>
    <x v="19"/>
    <s v="NULL"/>
    <x v="4"/>
    <x v="2"/>
    <n v="1"/>
    <n v="5.9"/>
    <s v="Billions"/>
    <s v="INR"/>
    <n v="1000"/>
    <n v="5900"/>
    <n v="1000"/>
    <n v="5900"/>
    <n v="12.5"/>
    <n v="73.75"/>
  </r>
  <r>
    <x v="30"/>
    <x v="30"/>
    <x v="0"/>
    <x v="23"/>
    <n v="7.6"/>
    <x v="17"/>
    <x v="4"/>
    <n v="2"/>
    <n v="3.6"/>
    <s v="Billions"/>
    <s v="INR"/>
    <n v="2000"/>
    <n v="3600"/>
    <n v="2000"/>
    <n v="3600"/>
    <n v="25"/>
    <n v="45"/>
  </r>
  <r>
    <x v="31"/>
    <x v="31"/>
    <x v="0"/>
    <x v="0"/>
    <n v="8"/>
    <x v="18"/>
    <x v="4"/>
    <n v="5.5"/>
    <n v="12"/>
    <s v="Billions"/>
    <s v="INR"/>
    <n v="5500"/>
    <n v="12000"/>
    <n v="5500"/>
    <n v="12000"/>
    <n v="68.75"/>
    <n v="150"/>
  </r>
  <r>
    <x v="32"/>
    <x v="32"/>
    <x v="0"/>
    <x v="7"/>
    <n v="8"/>
    <x v="19"/>
    <x v="4"/>
    <n v="1.8"/>
    <n v="6.5"/>
    <s v="Billions"/>
    <s v="INR"/>
    <n v="1800"/>
    <n v="6500"/>
    <n v="1800"/>
    <n v="6500"/>
    <n v="22.5"/>
    <n v="81.25"/>
  </r>
  <r>
    <x v="33"/>
    <x v="33"/>
    <x v="0"/>
    <x v="0"/>
    <n v="8.3000000000000007"/>
    <x v="20"/>
    <x v="2"/>
    <n v="250"/>
    <n v="3409"/>
    <s v="Millions"/>
    <s v="INR"/>
    <n v="250"/>
    <n v="3409"/>
    <n v="250"/>
    <n v="3409"/>
    <n v="3.125"/>
    <n v="42.612499999999997"/>
  </r>
  <r>
    <x v="34"/>
    <x v="34"/>
    <x v="0"/>
    <x v="7"/>
    <n v="8.1"/>
    <x v="21"/>
    <x v="2"/>
    <n v="900"/>
    <n v="11690"/>
    <s v="Millions"/>
    <s v="INR"/>
    <n v="900"/>
    <n v="11690"/>
    <n v="900"/>
    <n v="11690"/>
    <n v="11.25"/>
    <n v="146.125"/>
  </r>
  <r>
    <x v="35"/>
    <x v="35"/>
    <x v="1"/>
    <x v="24"/>
    <n v="6.9"/>
    <x v="1"/>
    <x v="1"/>
    <n v="216.7"/>
    <n v="370.6"/>
    <s v="Millions"/>
    <s v="USD"/>
    <n v="216.7"/>
    <n v="370.6"/>
    <n v="17336"/>
    <n v="29648"/>
    <n v="216.7"/>
    <n v="370.6"/>
  </r>
  <r>
    <x v="36"/>
    <x v="36"/>
    <x v="1"/>
    <x v="10"/>
    <n v="7.8"/>
    <x v="1"/>
    <x v="1"/>
    <n v="177"/>
    <n v="714.4"/>
    <s v="Millions"/>
    <s v="USD"/>
    <n v="177"/>
    <n v="714.4"/>
    <n v="14160"/>
    <n v="57152"/>
    <n v="177"/>
    <n v="714.4"/>
  </r>
  <r>
    <x v="37"/>
    <x v="37"/>
    <x v="0"/>
    <x v="19"/>
    <n v="1.9"/>
    <x v="21"/>
    <x v="2"/>
    <n v="1.8"/>
    <n v="3.1"/>
    <s v="Billions"/>
    <s v="INR"/>
    <n v="1800"/>
    <n v="3100"/>
    <n v="1800"/>
    <n v="3100"/>
    <n v="22.5"/>
    <n v="38.75"/>
  </r>
  <r>
    <x v="38"/>
    <x v="38"/>
    <x v="0"/>
    <x v="23"/>
    <n v="8.4"/>
    <x v="5"/>
    <x v="2"/>
    <n v="500"/>
    <n v="950"/>
    <s v="Millions"/>
    <s v="INR"/>
    <n v="500"/>
    <n v="950"/>
    <n v="500"/>
    <n v="950"/>
    <n v="6.25"/>
    <n v="11.8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1CF3A-5BA6-4F26-8C44-BBEA4244D546}" name="PivotTable6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E3:F6" firstHeaderRow="1" firstDataRow="1" firstDataCol="1"/>
  <pivotFields count="17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 USD" fld="16" baseField="0" baseItem="0" numFmtId="167"/>
  </dataFields>
  <formats count="5">
    <format dxfId="32">
      <pivotArea outline="0" fieldPosition="0">
        <references count="1">
          <reference field="2" count="0" selected="0"/>
        </references>
      </pivotArea>
    </format>
    <format dxfId="33">
      <pivotArea grandRow="1" outline="0" collapsedLevelsAreSubtotals="1" fieldPosition="0"/>
    </format>
    <format dxfId="34">
      <pivotArea outline="0" collapsedLevelsAreSubtotals="1" fieldPosition="0"/>
    </format>
    <format dxfId="35">
      <pivotArea dataOnly="0" labelOnly="1" outline="0" fieldPosition="0">
        <references count="1">
          <reference field="2" count="1">
            <x v="0"/>
          </reference>
        </references>
      </pivotArea>
    </format>
    <format dxfId="36">
      <pivotArea outline="0" fieldPosition="0">
        <references count="1">
          <reference field="2" count="1" selected="0">
            <x v="0"/>
          </reference>
        </references>
      </pivotArea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963B5-5FFF-40EA-9687-6DCE089916CB}" name="PivotTable3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17"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Mov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E10DD-5689-4456-8D89-767FB266E369}" name="PivotTable7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3:I29" firstHeaderRow="1" firstDataRow="1" firstDataCol="1"/>
  <pivotFields count="17">
    <pivotField dataField="1" compact="0" outline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 sortType="ascending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movie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189E0-1A4C-40C3-B385-B481FF16277C}" name="PivotTable5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3:C4" firstHeaderRow="1" firstDataRow="1" firstDataCol="0"/>
  <pivotFields count="17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dataField="1"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Rating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92314-746D-4B21-A89D-BB0140BDE53F}" name="PivotTable9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3:O14" firstHeaderRow="1" firstDataRow="1" firstDataCol="1"/>
  <pivotFields count="17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axis="axisRow" compact="0" outline="0" showAll="0" measureFilter="1" sortType="descending">
      <items count="23">
        <item x="13"/>
        <item x="19"/>
        <item x="7"/>
        <item x="9"/>
        <item x="5"/>
        <item x="18"/>
        <item x="15"/>
        <item x="0"/>
        <item x="12"/>
        <item x="1"/>
        <item x="17"/>
        <item x="6"/>
        <item x="11"/>
        <item x="21"/>
        <item x="14"/>
        <item x="2"/>
        <item x="10"/>
        <item x="4"/>
        <item x="16"/>
        <item x="8"/>
        <item x="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11">
    <i>
      <x v="9"/>
    </i>
    <i>
      <x/>
    </i>
    <i>
      <x v="12"/>
    </i>
    <i>
      <x v="16"/>
    </i>
    <i>
      <x v="14"/>
    </i>
    <i>
      <x v="19"/>
    </i>
    <i>
      <x v="11"/>
    </i>
    <i>
      <x v="3"/>
    </i>
    <i>
      <x v="17"/>
    </i>
    <i>
      <x v="13"/>
    </i>
    <i t="grand">
      <x/>
    </i>
  </rowItems>
  <colItems count="1">
    <i/>
  </colItems>
  <dataFields count="1">
    <dataField name="Sum of revenue USD" fld="16" baseField="0" baseItem="0" numFmtId="167"/>
  </dataFields>
  <formats count="1">
    <format dxfId="31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BDB9B-8DA5-41F8-83E1-26429C2A149E}" name="PivotTable4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B4" firstHeaderRow="1" firstDataRow="1" firstDataCol="0"/>
  <pivotFields count="17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Items count="1">
    <i/>
  </colItems>
  <dataFields count="1">
    <dataField name="Total Revenue" fld="16" baseField="0" baseItem="0" numFmtId="167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E0CD3-1C2F-4E96-ADC3-2AB53DF5EC32}" name="PivotTable8" cacheId="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14" firstHeaderRow="1" firstDataRow="1" firstDataCol="1"/>
  <pivotFields count="17">
    <pivotField compact="0" outline="0" showAll="0"/>
    <pivotField axis="axisRow" compact="0" outline="0" showAll="0" measureFilter="1" sortType="ascending">
      <items count="40">
        <item x="15"/>
        <item x="2"/>
        <item x="3"/>
        <item x="4"/>
        <item x="10"/>
        <item x="13"/>
        <item x="33"/>
        <item x="18"/>
        <item x="19"/>
        <item x="26"/>
        <item x="5"/>
        <item x="38"/>
        <item x="20"/>
        <item x="29"/>
        <item x="31"/>
        <item x="37"/>
        <item x="30"/>
        <item x="28"/>
        <item x="25"/>
        <item x="22"/>
        <item x="27"/>
        <item x="8"/>
        <item x="0"/>
        <item x="21"/>
        <item x="16"/>
        <item x="12"/>
        <item x="11"/>
        <item x="14"/>
        <item x="1"/>
        <item x="6"/>
        <item x="36"/>
        <item x="35"/>
        <item x="34"/>
        <item x="9"/>
        <item x="32"/>
        <item x="24"/>
        <item x="23"/>
        <item x="17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0"/>
        <item x="1"/>
        <item t="default"/>
      </items>
    </pivotField>
    <pivotField compact="0" outline="0" showAll="0">
      <items count="26">
        <item x="14"/>
        <item x="20"/>
        <item x="15"/>
        <item x="3"/>
        <item x="17"/>
        <item x="8"/>
        <item x="4"/>
        <item x="13"/>
        <item x="12"/>
        <item x="6"/>
        <item x="22"/>
        <item x="11"/>
        <item x="21"/>
        <item x="16"/>
        <item x="5"/>
        <item x="9"/>
        <item x="24"/>
        <item x="1"/>
        <item x="10"/>
        <item x="7"/>
        <item x="2"/>
        <item x="19"/>
        <item x="18"/>
        <item x="23"/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11">
    <i>
      <x v="25"/>
    </i>
    <i>
      <x v="30"/>
    </i>
    <i>
      <x v="2"/>
    </i>
    <i>
      <x v="28"/>
    </i>
    <i>
      <x v="8"/>
    </i>
    <i>
      <x v="23"/>
    </i>
    <i>
      <x v="35"/>
    </i>
    <i>
      <x/>
    </i>
    <i>
      <x v="36"/>
    </i>
    <i>
      <x v="37"/>
    </i>
    <i t="grand">
      <x/>
    </i>
  </rowItems>
  <colItems count="1">
    <i/>
  </colItems>
  <dataFields count="1">
    <dataField name="Sum of revenue USD" fld="16" baseField="0" baseItem="0" numFmtId="167"/>
  </dataFields>
  <formats count="1">
    <format dxfId="29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dustry1" xr10:uid="{AA11756C-695D-4365-8967-977929922A39}" sourceName="industry">
  <pivotTables>
    <pivotTable tabId="7" name="PivotTable8"/>
    <pivotTable tabId="7" name="PivotTable4"/>
    <pivotTable tabId="7" name="PivotTable9"/>
    <pivotTable tabId="7" name="PivotTable5"/>
    <pivotTable tabId="7" name="PivotTable6"/>
    <pivotTable tabId="7" name="PivotTable3"/>
    <pivotTable tabId="7" name="PivotTable7"/>
  </pivotTables>
  <data>
    <tabular pivotCacheId="178120364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lease_year1" xr10:uid="{EDA6A0D8-21AB-4B29-B875-F770BABD785D}" sourceName="release_year">
  <pivotTables>
    <pivotTable tabId="7" name="PivotTable6"/>
    <pivotTable tabId="7" name="PivotTable3"/>
    <pivotTable tabId="7" name="PivotTable5"/>
    <pivotTable tabId="7" name="PivotTable9"/>
    <pivotTable tabId="7" name="PivotTable4"/>
    <pivotTable tabId="7" name="PivotTable8"/>
    <pivotTable tabId="7" name="PivotTable7"/>
  </pivotTables>
  <data>
    <tabular pivotCacheId="1781203646">
      <items count="25">
        <i x="14" s="1"/>
        <i x="20" s="1"/>
        <i x="15" s="1"/>
        <i x="3" s="1"/>
        <i x="17" s="1"/>
        <i x="8" s="1"/>
        <i x="4" s="1"/>
        <i x="13" s="1"/>
        <i x="12" s="1"/>
        <i x="6" s="1"/>
        <i x="22" s="1"/>
        <i x="11" s="1"/>
        <i x="21" s="1"/>
        <i x="16" s="1"/>
        <i x="5" s="1"/>
        <i x="9" s="1"/>
        <i x="24" s="1"/>
        <i x="1" s="1"/>
        <i x="10" s="1"/>
        <i x="7" s="1"/>
        <i x="2" s="1"/>
        <i x="19" s="1"/>
        <i x="18" s="1"/>
        <i x="2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anguage_id" xr10:uid="{7B2D0A38-E63E-49E9-8D35-886639A7A773}" sourceName="language_id">
  <pivotTables>
    <pivotTable tabId="7" name="PivotTable8"/>
    <pivotTable tabId="7" name="PivotTable4"/>
    <pivotTable tabId="7" name="PivotTable9"/>
    <pivotTable tabId="7" name="PivotTable5"/>
    <pivotTable tabId="7" name="PivotTable7"/>
    <pivotTable tabId="7" name="PivotTable3"/>
    <pivotTable tabId="7" name="PivotTable6"/>
  </pivotTables>
  <data>
    <tabular pivotCacheId="1781203646">
      <items count="5">
        <i x="2" s="1"/>
        <i x="4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anguage" xr10:uid="{BACE9D23-F4DB-46DA-8A8D-E9F5203737A7}" sourceName="Language">
  <extLst>
    <x:ext xmlns:x15="http://schemas.microsoft.com/office/spreadsheetml/2010/11/main" uri="{2F2917AC-EB37-4324-AD4E-5DD8C200BD13}">
      <x15:tableSlicerCache tableId="1" column="2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anguage" xr10:uid="{5850F098-F344-4264-B546-68A716CAF589}" cache="Slicer_Language" caption="Languag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ustry 1" xr10:uid="{02740D33-3E9E-45B7-B7E9-2D280771B1FE}" cache="Slicer_industry1" caption="industry" rowHeight="228600"/>
  <slicer name="release_year 1" xr10:uid="{1EE76651-D519-4E13-9B4A-D405FC09EEB9}" cache="Slicer_release_year1" caption="release_year" rowHeight="228600"/>
  <slicer name="language_id" xr10:uid="{7B73E6A4-249F-4A13-8D90-EAD5E8225086}" cache="Slicer_language_id" caption="language_i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tblMovies" displayName="tblMovies" ref="A1:R41" totalsRowCount="1" headerRowDxfId="24">
  <autoFilter ref="A1:R40" xr:uid="{6A7FE39D-5614-4A7F-89B7-C167ABC0A251}"/>
  <tableColumns count="18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20" xr3:uid="{1FC90BFE-902A-4E66-BD77-2CC39D57A41F}" name="Language" dataDxfId="22" totalsRowDxfId="23">
      <calculatedColumnFormula>_xlfn.XLOOKUP(tblMovies[[#This Row],[language_id]],tblLanguages[language_id],tblLanguages[name],"Unknown")</calculatedColumnFormula>
    </tableColumn>
    <tableColumn id="14" xr3:uid="{DD2A0151-E545-4BFF-93A3-124AFC8C3768}" name="budget" dataDxfId="20" totalsRowDxfId="21">
      <calculatedColumnFormula array="1">_xlfn.XLOOKUP(tblMovies[[#This Row],[movie_id]:[movie_id]],tblFinancials[[#All],[movie_id]:[movie_id]],tblFinancials[[#All],[budget]],"Not Available",0)</calculatedColumnFormula>
    </tableColumn>
    <tableColumn id="19" xr3:uid="{DB0D2613-55BC-4836-9E67-0E5D587EA27B}" name="revenue">
      <calculatedColumnFormula array="1">_xlfn.XLOOKUP(tblMovies[[#This Row],[movie_id]:[movie_id]],tblFinancials[[#All],[movie_id]:[movie_id]],tblFinancials[[#All],[revenue]],"Not Available",0)</calculatedColumnFormula>
    </tableColumn>
    <tableColumn id="15" xr3:uid="{4FC460F8-5501-4B3D-B612-AA6EA53F088D}" name="unit" dataDxfId="18" totalsRowDxfId="19">
      <calculatedColumnFormula array="1">_xlfn.XLOOKUP(tblMovies[[#This Row],[movie_id]:[movie_id]],tblFinancials[[#All],[movie_id]:[movie_id]],tblFinancials[[#All],[unit]],"Not Available",0)</calculatedColumnFormula>
    </tableColumn>
    <tableColumn id="16" xr3:uid="{71AF9D00-263F-48BA-A598-7B2DDE3DCFC0}" name="currency" dataDxfId="16" totalsRowDxfId="17">
      <calculatedColumnFormula array="1">_xlfn.XLOOKUP(tblMovies[[#This Row],[movie_id]:[movie_id]],tblFinancials[[#All],[movie_id]:[movie_id]],tblFinancials[[#All],[currency]],"Not Available",0)</calculatedColumnFormula>
    </tableColumn>
    <tableColumn id="2" xr3:uid="{7397E0A3-B5FD-2C44-95D1-99584144C3AB}" name="budget (mln)" dataDxfId="14" totalsRowDxfId="15">
      <calculatedColumnFormula>IF(tblMovies[[#This Row],[unit]]="Billions",tblMovies[[#This Row],[budget]]*1000,tblMovies[[#This Row],[budget]])</calculatedColumnFormula>
    </tableColumn>
    <tableColumn id="9" xr3:uid="{3DCF70FB-74EB-2441-9661-F430EDB439EA}" name="revenue (mln)" dataDxfId="12" totalsRowDxfId="13">
      <calculatedColumnFormula>IF(tblMovies[[#This Row],[unit]]="Billions",tblMovies[[#This Row],[revenue]]*1000,tblMovies[[#This Row],[revenue]])</calculatedColumnFormula>
    </tableColumn>
    <tableColumn id="10" xr3:uid="{45304F47-BE5B-504C-895A-8DCEC3AB4E71}" name="budget INR" dataDxfId="10" totalsRowDxfId="11">
      <calculatedColumnFormula>IF(tblMovies[[#This Row],[currency]]="USD",tblMovies[[#This Row],[budget (mln)]]*80,tblMovies[[#This Row],[budget (mln)]])</calculatedColumnFormula>
    </tableColumn>
    <tableColumn id="11" xr3:uid="{B89BB826-9556-E94F-B8F4-AF31301776EE}" name="revenue INR" dataDxfId="8" totalsRowDxfId="9">
      <calculatedColumnFormula>IF(tblMovies[[#This Row],[currency]]="USD",tblMovies[[#This Row],[revenue (mln)]]*80,tblMovies[[#This Row],[revenue (mln)]])</calculatedColumnFormula>
    </tableColumn>
    <tableColumn id="12" xr3:uid="{8A4A8A98-3B7A-DA42-806B-8650AE84A806}" name="budget USD" totalsRowFunction="custom" dataDxfId="6" totalsRowDxfId="7">
      <calculatedColumnFormula>IF(tblMovies[[#This Row],[currency]]="INR",tblMovies[[#This Row],[budget (mln)]]/80,tblMovies[[#This Row],[budget (mln)]])</calculatedColumnFormula>
      <totalsRowFormula>SUM(tblMovies[budget USD])</totalsRowFormula>
    </tableColumn>
    <tableColumn id="13" xr3:uid="{4A67ED56-CA75-0243-8821-98A73DB7F75D}" name="revenue USD" dataDxfId="4" totalsRowDxfId="5">
      <calculatedColumnFormula>IF(tblMovies[[#This Row],[currency]]="INR",tblMovies[[#This Row],[revenue (mln)]]/80,tblMovies[[#This Row],[revenue (mln)]])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3BE75C-22F1-4B96-B3EE-927DC3AE1AB2}" name="Table9" displayName="Table9" ref="A3:Q21" totalsRowShown="0">
  <autoFilter ref="A3:Q21" xr:uid="{343BE75C-22F1-4B96-B3EE-927DC3AE1AB2}"/>
  <tableColumns count="17">
    <tableColumn id="1" xr3:uid="{E791BE26-E5D5-4932-A324-87382A66D1EF}" name="movie_id"/>
    <tableColumn id="2" xr3:uid="{35BC6F7D-64E3-4F4C-ADBD-620A5F0E60BB}" name="title"/>
    <tableColumn id="3" xr3:uid="{D1206621-B44F-4C3E-84FB-9BF2912A86E2}" name="industry"/>
    <tableColumn id="4" xr3:uid="{FEBAB293-5078-4DD8-8987-852609A11136}" name="release_year"/>
    <tableColumn id="5" xr3:uid="{0B165E9A-93ED-4108-A499-8FF37B4D91BF}" name="imdb_rating"/>
    <tableColumn id="6" xr3:uid="{E18DECDC-558B-4742-9B31-EBEEC74D3DD4}" name="studio"/>
    <tableColumn id="7" xr3:uid="{BEDCD9B9-20DF-49CC-B949-65956CEA2923}" name="language_id"/>
    <tableColumn id="8" xr3:uid="{5CA325D2-D852-4EE5-B870-7D7EDE8A352E}" name="budget"/>
    <tableColumn id="9" xr3:uid="{17BFFEDC-A021-47A9-B111-7624CB4346A9}" name="revenue"/>
    <tableColumn id="10" xr3:uid="{20979EF6-62B7-4F4E-8779-C7CB44D1EB13}" name="unit"/>
    <tableColumn id="11" xr3:uid="{CE7A06CC-3990-4C7B-A89D-DA50A4330B5E}" name="currency"/>
    <tableColumn id="12" xr3:uid="{35C6280C-6586-4E39-8136-8425718F3AA1}" name="budget (mln)"/>
    <tableColumn id="13" xr3:uid="{9250A92D-A29B-41DE-B7BB-4C97F608ABC5}" name="revenue (mln)"/>
    <tableColumn id="14" xr3:uid="{8A0945D8-0C22-4B5C-B843-9ADA60728230}" name="budget INR"/>
    <tableColumn id="15" xr3:uid="{E742354F-21BD-4939-8D1B-5A612BF6B511}" name="revenue INR"/>
    <tableColumn id="16" xr3:uid="{8D749F1D-0B63-47B5-8A98-80C2438893C9}" name="budget USD"/>
    <tableColumn id="17" xr3:uid="{96FE8B55-9EE5-4C3E-B1E4-78C32EFA4B55}" name="revenue US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tblFinancials" displayName="tblFinancials" ref="A1:E41" totalsRowShown="0" headerRowDxfId="3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tblActors" displayName="tblActors" ref="A1:C68" totalsRowShown="0" headerRowDxfId="2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tblMovieActor" displayName="tblMovieActor" ref="A1:B86" totalsRowShown="0" headerRowDxfId="1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tblLanguages" displayName="tblLanguages" ref="A1:B9" totalsRowShown="0" headerRowDxfId="0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zoomScale="177" zoomScaleNormal="175" workbookViewId="0">
      <selection activeCell="A2" sqref="A2:R40"/>
    </sheetView>
  </sheetViews>
  <sheetFormatPr defaultColWidth="8.85546875" defaultRowHeight="15"/>
  <cols>
    <col min="1" max="1" width="11.85546875" customWidth="1"/>
    <col min="2" max="2" width="29.7109375" customWidth="1"/>
    <col min="3" max="3" width="10.42578125" bestFit="1" customWidth="1"/>
    <col min="4" max="4" width="5.140625" customWidth="1"/>
    <col min="5" max="5" width="6.140625" customWidth="1"/>
    <col min="6" max="6" width="22" customWidth="1"/>
    <col min="7" max="7" width="14.28515625" customWidth="1"/>
    <col min="8" max="8" width="11" customWidth="1"/>
    <col min="9" max="10" width="16.7109375" customWidth="1"/>
    <col min="11" max="11" width="23.28515625" customWidth="1"/>
    <col min="12" max="12" width="13.140625" customWidth="1"/>
    <col min="14" max="14" width="13" customWidth="1"/>
    <col min="15" max="15" width="13.85546875" customWidth="1"/>
    <col min="16" max="16" width="15.42578125" customWidth="1"/>
    <col min="17" max="17" width="15.7109375" customWidth="1"/>
    <col min="18" max="18" width="14.85546875" customWidth="1"/>
    <col min="19" max="19" width="15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101</v>
      </c>
      <c r="B2" t="s">
        <v>18</v>
      </c>
      <c r="C2" t="s">
        <v>19</v>
      </c>
      <c r="D2">
        <v>2022</v>
      </c>
      <c r="E2">
        <v>8.4</v>
      </c>
      <c r="F2" t="s">
        <v>20</v>
      </c>
      <c r="G2">
        <v>3</v>
      </c>
      <c r="H2" t="str">
        <f>_xlfn.XLOOKUP(tblMovies[[#This Row],[language_id]],tblLanguages[language_id],tblLanguages[name],"Unknown")</f>
        <v>Kannada</v>
      </c>
      <c r="I2" cm="1">
        <f t="array" ref="I2">_xlfn.XLOOKUP(tblMovies[[#This Row],[movie_id]:[movie_id]],tblFinancials[[#All],[movie_id]:[movie_id]],tblFinancials[[#All],[budget]],"Not Available",0)</f>
        <v>1</v>
      </c>
      <c r="J2" cm="1">
        <f t="array" ref="J2">_xlfn.XLOOKUP(tblMovies[[#This Row],[movie_id]:[movie_id]],tblFinancials[[#All],[movie_id]:[movie_id]],tblFinancials[[#All],[revenue]],"Not Available",0)</f>
        <v>12.5</v>
      </c>
      <c r="K2" t="str" cm="1">
        <f t="array" ref="K2">_xlfn.XLOOKUP(tblMovies[[#This Row],[movie_id]:[movie_id]],tblFinancials[[#All],[movie_id]:[movie_id]],tblFinancials[[#All],[unit]],"Not Available",0)</f>
        <v>Billions</v>
      </c>
      <c r="L2" t="str" cm="1">
        <f t="array" ref="L2">_xlfn.XLOOKUP(tblMovies[[#This Row],[movie_id]:[movie_id]],tblFinancials[[#All],[movie_id]:[movie_id]],tblFinancials[[#All],[currency]],"Not Available",0)</f>
        <v>INR</v>
      </c>
      <c r="M2">
        <f>IF(tblMovies[[#This Row],[unit]]="Billions",tblMovies[[#This Row],[budget]]*1000,tblMovies[[#This Row],[budget]])</f>
        <v>1000</v>
      </c>
      <c r="N2">
        <f>IF(tblMovies[[#This Row],[unit]]="Billions",tblMovies[[#This Row],[revenue]]*1000,tblMovies[[#This Row],[revenue]])</f>
        <v>12500</v>
      </c>
      <c r="O2">
        <f>IF(tblMovies[[#This Row],[currency]]="USD",tblMovies[[#This Row],[budget (mln)]]*80,tblMovies[[#This Row],[budget (mln)]])</f>
        <v>1000</v>
      </c>
      <c r="P2">
        <f>IF(tblMovies[[#This Row],[currency]]="USD",tblMovies[[#This Row],[revenue (mln)]]*80,tblMovies[[#This Row],[revenue (mln)]])</f>
        <v>12500</v>
      </c>
      <c r="Q2">
        <f>IF(tblMovies[[#This Row],[currency]]="INR",tblMovies[[#This Row],[budget (mln)]]/80,tblMovies[[#This Row],[budget (mln)]])</f>
        <v>12.5</v>
      </c>
      <c r="R2">
        <f>IF(tblMovies[[#This Row],[currency]]="INR",tblMovies[[#This Row],[revenue (mln)]]/80,tblMovies[[#This Row],[revenue (mln)]])</f>
        <v>156.25</v>
      </c>
    </row>
    <row r="3" spans="1:18">
      <c r="A3">
        <v>102</v>
      </c>
      <c r="B3" t="s">
        <v>21</v>
      </c>
      <c r="C3" t="s">
        <v>22</v>
      </c>
      <c r="D3">
        <v>2022</v>
      </c>
      <c r="E3">
        <v>7</v>
      </c>
      <c r="F3" t="s">
        <v>23</v>
      </c>
      <c r="G3">
        <v>5</v>
      </c>
      <c r="H3" t="str">
        <f>_xlfn.XLOOKUP(tblMovies[[#This Row],[language_id]],tblLanguages[language_id],tblLanguages[name],"Unknown")</f>
        <v>English</v>
      </c>
      <c r="I3" cm="1">
        <f t="array" ref="I3">_xlfn.XLOOKUP(tblMovies[[#This Row],[movie_id]:[movie_id]],tblFinancials[[#All],[movie_id]:[movie_id]],tblFinancials[[#All],[budget]],"Not Available",0)</f>
        <v>200</v>
      </c>
      <c r="J3" cm="1">
        <f t="array" ref="J3">_xlfn.XLOOKUP(tblMovies[[#This Row],[movie_id]:[movie_id]],tblFinancials[[#All],[movie_id]:[movie_id]],tblFinancials[[#All],[revenue]],"Not Available",0)</f>
        <v>954.8</v>
      </c>
      <c r="K3" t="str" cm="1">
        <f t="array" ref="K3">_xlfn.XLOOKUP(tblMovies[[#This Row],[movie_id]:[movie_id]],tblFinancials[[#All],[movie_id]:[movie_id]],tblFinancials[[#All],[unit]],"Not Available",0)</f>
        <v>Millions</v>
      </c>
      <c r="L3" t="str" cm="1">
        <f t="array" ref="L3">_xlfn.XLOOKUP(tblMovies[[#This Row],[movie_id]:[movie_id]],tblFinancials[[#All],[movie_id]:[movie_id]],tblFinancials[[#All],[currency]],"Not Available",0)</f>
        <v>USD</v>
      </c>
      <c r="M3">
        <f>IF(tblMovies[[#This Row],[unit]]="Billions",tblMovies[[#This Row],[budget]]*1000,tblMovies[[#This Row],[budget]])</f>
        <v>200</v>
      </c>
      <c r="N3">
        <f>IF(tblMovies[[#This Row],[unit]]="Billions",tblMovies[[#This Row],[revenue]]*1000,tblMovies[[#This Row],[revenue]])</f>
        <v>954.8</v>
      </c>
      <c r="O3">
        <f>IF(tblMovies[[#This Row],[currency]]="USD",tblMovies[[#This Row],[budget (mln)]]*80,tblMovies[[#This Row],[budget (mln)]])</f>
        <v>16000</v>
      </c>
      <c r="P3">
        <f>IF(tblMovies[[#This Row],[currency]]="USD",tblMovies[[#This Row],[revenue (mln)]]*80,tblMovies[[#This Row],[revenue (mln)]])</f>
        <v>76384</v>
      </c>
      <c r="Q3">
        <f>IF(tblMovies[[#This Row],[currency]]="INR",tblMovies[[#This Row],[budget (mln)]]/80,tblMovies[[#This Row],[budget (mln)]])</f>
        <v>200</v>
      </c>
      <c r="R3">
        <f>IF(tblMovies[[#This Row],[currency]]="INR",tblMovies[[#This Row],[revenue (mln)]]/80,tblMovies[[#This Row],[revenue (mln)]])</f>
        <v>954.8</v>
      </c>
    </row>
    <row r="4" spans="1:18">
      <c r="A4">
        <v>103</v>
      </c>
      <c r="B4" t="s">
        <v>24</v>
      </c>
      <c r="C4" t="s">
        <v>22</v>
      </c>
      <c r="D4">
        <v>2013</v>
      </c>
      <c r="E4">
        <v>6.8</v>
      </c>
      <c r="F4" t="s">
        <v>23</v>
      </c>
      <c r="G4">
        <v>5</v>
      </c>
      <c r="H4" t="str">
        <f>_xlfn.XLOOKUP(tblMovies[[#This Row],[language_id]],tblLanguages[language_id],tblLanguages[name],"Unknown")</f>
        <v>English</v>
      </c>
      <c r="I4" cm="1">
        <f t="array" ref="I4">_xlfn.XLOOKUP(tblMovies[[#This Row],[movie_id]:[movie_id]],tblFinancials[[#All],[movie_id]:[movie_id]],tblFinancials[[#All],[budget]],"Not Available",0)</f>
        <v>165</v>
      </c>
      <c r="J4" cm="1">
        <f t="array" ref="J4">_xlfn.XLOOKUP(tblMovies[[#This Row],[movie_id]:[movie_id]],tblFinancials[[#All],[movie_id]:[movie_id]],tblFinancials[[#All],[revenue]],"Not Available",0)</f>
        <v>644.79999999999995</v>
      </c>
      <c r="K4" t="str" cm="1">
        <f t="array" ref="K4">_xlfn.XLOOKUP(tblMovies[[#This Row],[movie_id]:[movie_id]],tblFinancials[[#All],[movie_id]:[movie_id]],tblFinancials[[#All],[unit]],"Not Available",0)</f>
        <v>Millions</v>
      </c>
      <c r="L4" t="str" cm="1">
        <f t="array" ref="L4">_xlfn.XLOOKUP(tblMovies[[#This Row],[movie_id]:[movie_id]],tblFinancials[[#All],[movie_id]:[movie_id]],tblFinancials[[#All],[currency]],"Not Available",0)</f>
        <v>USD</v>
      </c>
      <c r="M4">
        <f>IF(tblMovies[[#This Row],[unit]]="Billions",tblMovies[[#This Row],[budget]]*1000,tblMovies[[#This Row],[budget]])</f>
        <v>165</v>
      </c>
      <c r="N4">
        <f>IF(tblMovies[[#This Row],[unit]]="Billions",tblMovies[[#This Row],[revenue]]*1000,tblMovies[[#This Row],[revenue]])</f>
        <v>644.79999999999995</v>
      </c>
      <c r="O4">
        <f>IF(tblMovies[[#This Row],[currency]]="USD",tblMovies[[#This Row],[budget (mln)]]*80,tblMovies[[#This Row],[budget (mln)]])</f>
        <v>13200</v>
      </c>
      <c r="P4">
        <f>IF(tblMovies[[#This Row],[currency]]="USD",tblMovies[[#This Row],[revenue (mln)]]*80,tblMovies[[#This Row],[revenue (mln)]])</f>
        <v>51584</v>
      </c>
      <c r="Q4">
        <f>IF(tblMovies[[#This Row],[currency]]="INR",tblMovies[[#This Row],[budget (mln)]]/80,tblMovies[[#This Row],[budget (mln)]])</f>
        <v>165</v>
      </c>
      <c r="R4">
        <f>IF(tblMovies[[#This Row],[currency]]="INR",tblMovies[[#This Row],[revenue (mln)]]/80,tblMovies[[#This Row],[revenue (mln)]])</f>
        <v>644.79999999999995</v>
      </c>
    </row>
    <row r="5" spans="1:18">
      <c r="A5">
        <v>104</v>
      </c>
      <c r="B5" t="s">
        <v>25</v>
      </c>
      <c r="C5" t="s">
        <v>22</v>
      </c>
      <c r="D5">
        <v>2017</v>
      </c>
      <c r="E5">
        <v>7.9</v>
      </c>
      <c r="F5" t="s">
        <v>23</v>
      </c>
      <c r="G5">
        <v>5</v>
      </c>
      <c r="H5" t="str">
        <f>_xlfn.XLOOKUP(tblMovies[[#This Row],[language_id]],tblLanguages[language_id],tblLanguages[name],"Unknown")</f>
        <v>English</v>
      </c>
      <c r="I5" cm="1">
        <f t="array" ref="I5">_xlfn.XLOOKUP(tblMovies[[#This Row],[movie_id]:[movie_id]],tblFinancials[[#All],[movie_id]:[movie_id]],tblFinancials[[#All],[budget]],"Not Available",0)</f>
        <v>180</v>
      </c>
      <c r="J5" cm="1">
        <f t="array" ref="J5">_xlfn.XLOOKUP(tblMovies[[#This Row],[movie_id]:[movie_id]],tblFinancials[[#All],[movie_id]:[movie_id]],tblFinancials[[#All],[revenue]],"Not Available",0)</f>
        <v>854</v>
      </c>
      <c r="K5" t="str" cm="1">
        <f t="array" ref="K5">_xlfn.XLOOKUP(tblMovies[[#This Row],[movie_id]:[movie_id]],tblFinancials[[#All],[movie_id]:[movie_id]],tblFinancials[[#All],[unit]],"Not Available",0)</f>
        <v>Millions</v>
      </c>
      <c r="L5" t="str" cm="1">
        <f t="array" ref="L5">_xlfn.XLOOKUP(tblMovies[[#This Row],[movie_id]:[movie_id]],tblFinancials[[#All],[movie_id]:[movie_id]],tblFinancials[[#All],[currency]],"Not Available",0)</f>
        <v>USD</v>
      </c>
      <c r="M5">
        <f>IF(tblMovies[[#This Row],[unit]]="Billions",tblMovies[[#This Row],[budget]]*1000,tblMovies[[#This Row],[budget]])</f>
        <v>180</v>
      </c>
      <c r="N5">
        <f>IF(tblMovies[[#This Row],[unit]]="Billions",tblMovies[[#This Row],[revenue]]*1000,tblMovies[[#This Row],[revenue]])</f>
        <v>854</v>
      </c>
      <c r="O5">
        <f>IF(tblMovies[[#This Row],[currency]]="USD",tblMovies[[#This Row],[budget (mln)]]*80,tblMovies[[#This Row],[budget (mln)]])</f>
        <v>14400</v>
      </c>
      <c r="P5">
        <f>IF(tblMovies[[#This Row],[currency]]="USD",tblMovies[[#This Row],[revenue (mln)]]*80,tblMovies[[#This Row],[revenue (mln)]])</f>
        <v>68320</v>
      </c>
      <c r="Q5">
        <f>IF(tblMovies[[#This Row],[currency]]="INR",tblMovies[[#This Row],[budget (mln)]]/80,tblMovies[[#This Row],[budget (mln)]])</f>
        <v>180</v>
      </c>
      <c r="R5">
        <f>IF(tblMovies[[#This Row],[currency]]="INR",tblMovies[[#This Row],[revenue (mln)]]/80,tblMovies[[#This Row],[revenue (mln)]])</f>
        <v>854</v>
      </c>
    </row>
    <row r="6" spans="1:18">
      <c r="A6">
        <v>105</v>
      </c>
      <c r="B6" t="s">
        <v>26</v>
      </c>
      <c r="C6" t="s">
        <v>22</v>
      </c>
      <c r="D6">
        <v>2022</v>
      </c>
      <c r="E6">
        <v>6.8</v>
      </c>
      <c r="F6" t="s">
        <v>23</v>
      </c>
      <c r="G6">
        <v>5</v>
      </c>
      <c r="H6" t="str">
        <f>_xlfn.XLOOKUP(tblMovies[[#This Row],[language_id]],tblLanguages[language_id],tblLanguages[name],"Unknown")</f>
        <v>English</v>
      </c>
      <c r="I6" cm="1">
        <f t="array" ref="I6">_xlfn.XLOOKUP(tblMovies[[#This Row],[movie_id]:[movie_id]],tblFinancials[[#All],[movie_id]:[movie_id]],tblFinancials[[#All],[budget]],"Not Available",0)</f>
        <v>250</v>
      </c>
      <c r="J6" cm="1">
        <f t="array" ref="J6">_xlfn.XLOOKUP(tblMovies[[#This Row],[movie_id]:[movie_id]],tblFinancials[[#All],[movie_id]:[movie_id]],tblFinancials[[#All],[revenue]],"Not Available",0)</f>
        <v>670</v>
      </c>
      <c r="K6" t="str" cm="1">
        <f t="array" ref="K6">_xlfn.XLOOKUP(tblMovies[[#This Row],[movie_id]:[movie_id]],tblFinancials[[#All],[movie_id]:[movie_id]],tblFinancials[[#All],[unit]],"Not Available",0)</f>
        <v>Millions</v>
      </c>
      <c r="L6" t="str" cm="1">
        <f t="array" ref="L6">_xlfn.XLOOKUP(tblMovies[[#This Row],[movie_id]:[movie_id]],tblFinancials[[#All],[movie_id]:[movie_id]],tblFinancials[[#All],[currency]],"Not Available",0)</f>
        <v>USD</v>
      </c>
      <c r="M6">
        <f>IF(tblMovies[[#This Row],[unit]]="Billions",tblMovies[[#This Row],[budget]]*1000,tblMovies[[#This Row],[budget]])</f>
        <v>250</v>
      </c>
      <c r="N6">
        <f>IF(tblMovies[[#This Row],[unit]]="Billions",tblMovies[[#This Row],[revenue]]*1000,tblMovies[[#This Row],[revenue]])</f>
        <v>670</v>
      </c>
      <c r="O6">
        <f>IF(tblMovies[[#This Row],[currency]]="USD",tblMovies[[#This Row],[budget (mln)]]*80,tblMovies[[#This Row],[budget (mln)]])</f>
        <v>20000</v>
      </c>
      <c r="P6">
        <f>IF(tblMovies[[#This Row],[currency]]="USD",tblMovies[[#This Row],[revenue (mln)]]*80,tblMovies[[#This Row],[revenue (mln)]])</f>
        <v>53600</v>
      </c>
      <c r="Q6">
        <f>IF(tblMovies[[#This Row],[currency]]="INR",tblMovies[[#This Row],[budget (mln)]]/80,tblMovies[[#This Row],[budget (mln)]])</f>
        <v>250</v>
      </c>
      <c r="R6">
        <f>IF(tblMovies[[#This Row],[currency]]="INR",tblMovies[[#This Row],[revenue (mln)]]/80,tblMovies[[#This Row],[revenue (mln)]])</f>
        <v>670</v>
      </c>
    </row>
    <row r="7" spans="1:18">
      <c r="A7">
        <v>106</v>
      </c>
      <c r="B7" t="s">
        <v>27</v>
      </c>
      <c r="C7" t="s">
        <v>19</v>
      </c>
      <c r="D7">
        <v>1975</v>
      </c>
      <c r="E7">
        <v>8.1</v>
      </c>
      <c r="F7" t="s">
        <v>28</v>
      </c>
      <c r="G7">
        <v>1</v>
      </c>
      <c r="H7" t="str">
        <f>_xlfn.XLOOKUP(tblMovies[[#This Row],[language_id]],tblLanguages[language_id],tblLanguages[name],"Unknown")</f>
        <v>Hindi</v>
      </c>
      <c r="I7" t="str" cm="1">
        <f t="array" ref="I7">_xlfn.XLOOKUP(tblMovies[[#This Row],[movie_id]:[movie_id]],tblFinancials[[#All],[movie_id]:[movie_id]],tblFinancials[[#All],[budget]],"Not Available",0)</f>
        <v>Not Available</v>
      </c>
      <c r="J7" t="str" cm="1">
        <f t="array" ref="J7">_xlfn.XLOOKUP(tblMovies[[#This Row],[movie_id]:[movie_id]],tblFinancials[[#All],[movie_id]:[movie_id]],tblFinancials[[#All],[revenue]],"Not Available",0)</f>
        <v>Not Available</v>
      </c>
      <c r="K7" t="str" cm="1">
        <f t="array" ref="K7">_xlfn.XLOOKUP(tblMovies[[#This Row],[movie_id]:[movie_id]],tblFinancials[[#All],[movie_id]:[movie_id]],tblFinancials[[#All],[unit]],"Not Available",0)</f>
        <v>Not Available</v>
      </c>
      <c r="L7" t="str" cm="1">
        <f t="array" ref="L7">_xlfn.XLOOKUP(tblMovies[[#This Row],[movie_id]:[movie_id]],tblFinancials[[#All],[movie_id]:[movie_id]],tblFinancials[[#All],[currency]],"Not Available",0)</f>
        <v>Not Available</v>
      </c>
      <c r="M7" t="str">
        <f>IF(tblMovies[[#This Row],[unit]]="Billions",tblMovies[[#This Row],[budget]]*1000,tblMovies[[#This Row],[budget]])</f>
        <v>Not Available</v>
      </c>
      <c r="N7" t="str">
        <f>IF(tblMovies[[#This Row],[unit]]="Billions",tblMovies[[#This Row],[revenue]]*1000,tblMovies[[#This Row],[revenue]])</f>
        <v>Not Available</v>
      </c>
      <c r="O7" t="str">
        <f>IF(tblMovies[[#This Row],[currency]]="USD",tblMovies[[#This Row],[budget (mln)]]*80,tblMovies[[#This Row],[budget (mln)]])</f>
        <v>Not Available</v>
      </c>
      <c r="P7" t="str">
        <f>IF(tblMovies[[#This Row],[currency]]="USD",tblMovies[[#This Row],[revenue (mln)]]*80,tblMovies[[#This Row],[revenue (mln)]])</f>
        <v>Not Available</v>
      </c>
      <c r="Q7" t="str">
        <f>IF(tblMovies[[#This Row],[currency]]="INR",tblMovies[[#This Row],[budget (mln)]]/80,tblMovies[[#This Row],[budget (mln)]])</f>
        <v>Not Available</v>
      </c>
      <c r="R7" t="str">
        <f>IF(tblMovies[[#This Row],[currency]]="INR",tblMovies[[#This Row],[revenue (mln)]]/80,tblMovies[[#This Row],[revenue (mln)]])</f>
        <v>Not Available</v>
      </c>
    </row>
    <row r="8" spans="1:18">
      <c r="A8">
        <v>107</v>
      </c>
      <c r="B8" t="s">
        <v>29</v>
      </c>
      <c r="C8" t="s">
        <v>19</v>
      </c>
      <c r="D8">
        <v>1995</v>
      </c>
      <c r="E8">
        <v>8</v>
      </c>
      <c r="F8" t="s">
        <v>30</v>
      </c>
      <c r="G8">
        <v>1</v>
      </c>
      <c r="H8" t="str">
        <f>_xlfn.XLOOKUP(tblMovies[[#This Row],[language_id]],tblLanguages[language_id],tblLanguages[name],"Unknown")</f>
        <v>Hindi</v>
      </c>
      <c r="I8" cm="1">
        <f t="array" ref="I8">_xlfn.XLOOKUP(tblMovies[[#This Row],[movie_id]:[movie_id]],tblFinancials[[#All],[movie_id]:[movie_id]],tblFinancials[[#All],[budget]],"Not Available",0)</f>
        <v>400</v>
      </c>
      <c r="J8" cm="1">
        <f t="array" ref="J8">_xlfn.XLOOKUP(tblMovies[[#This Row],[movie_id]:[movie_id]],tblFinancials[[#All],[movie_id]:[movie_id]],tblFinancials[[#All],[revenue]],"Not Available",0)</f>
        <v>2000</v>
      </c>
      <c r="K8" t="str" cm="1">
        <f t="array" ref="K8">_xlfn.XLOOKUP(tblMovies[[#This Row],[movie_id]:[movie_id]],tblFinancials[[#All],[movie_id]:[movie_id]],tblFinancials[[#All],[unit]],"Not Available",0)</f>
        <v>Millions</v>
      </c>
      <c r="L8" t="str" cm="1">
        <f t="array" ref="L8">_xlfn.XLOOKUP(tblMovies[[#This Row],[movie_id]:[movie_id]],tblFinancials[[#All],[movie_id]:[movie_id]],tblFinancials[[#All],[currency]],"Not Available",0)</f>
        <v>INR</v>
      </c>
      <c r="M8">
        <f>IF(tblMovies[[#This Row],[unit]]="Billions",tblMovies[[#This Row],[budget]]*1000,tblMovies[[#This Row],[budget]])</f>
        <v>400</v>
      </c>
      <c r="N8">
        <f>IF(tblMovies[[#This Row],[unit]]="Billions",tblMovies[[#This Row],[revenue]]*1000,tblMovies[[#This Row],[revenue]])</f>
        <v>2000</v>
      </c>
      <c r="O8">
        <f>IF(tblMovies[[#This Row],[currency]]="USD",tblMovies[[#This Row],[budget (mln)]]*80,tblMovies[[#This Row],[budget (mln)]])</f>
        <v>400</v>
      </c>
      <c r="P8">
        <f>IF(tblMovies[[#This Row],[currency]]="USD",tblMovies[[#This Row],[revenue (mln)]]*80,tblMovies[[#This Row],[revenue (mln)]])</f>
        <v>2000</v>
      </c>
      <c r="Q8">
        <f>IF(tblMovies[[#This Row],[currency]]="INR",tblMovies[[#This Row],[budget (mln)]]/80,tblMovies[[#This Row],[budget (mln)]])</f>
        <v>5</v>
      </c>
      <c r="R8">
        <f>IF(tblMovies[[#This Row],[currency]]="INR",tblMovies[[#This Row],[revenue (mln)]]/80,tblMovies[[#This Row],[revenue (mln)]])</f>
        <v>25</v>
      </c>
    </row>
    <row r="9" spans="1:18">
      <c r="A9">
        <v>108</v>
      </c>
      <c r="B9" t="s">
        <v>31</v>
      </c>
      <c r="C9" t="s">
        <v>19</v>
      </c>
      <c r="D9">
        <v>2009</v>
      </c>
      <c r="E9">
        <v>8.4</v>
      </c>
      <c r="F9" t="s">
        <v>32</v>
      </c>
      <c r="G9">
        <v>1</v>
      </c>
      <c r="H9" t="str">
        <f>_xlfn.XLOOKUP(tblMovies[[#This Row],[language_id]],tblLanguages[language_id],tblLanguages[name],"Unknown")</f>
        <v>Hindi</v>
      </c>
      <c r="I9" cm="1">
        <f t="array" ref="I9">_xlfn.XLOOKUP(tblMovies[[#This Row],[movie_id]:[movie_id]],tblFinancials[[#All],[movie_id]:[movie_id]],tblFinancials[[#All],[budget]],"Not Available",0)</f>
        <v>550</v>
      </c>
      <c r="J9" cm="1">
        <f t="array" ref="J9">_xlfn.XLOOKUP(tblMovies[[#This Row],[movie_id]:[movie_id]],tblFinancials[[#All],[movie_id]:[movie_id]],tblFinancials[[#All],[revenue]],"Not Available",0)</f>
        <v>4000</v>
      </c>
      <c r="K9" t="str" cm="1">
        <f t="array" ref="K9">_xlfn.XLOOKUP(tblMovies[[#This Row],[movie_id]:[movie_id]],tblFinancials[[#All],[movie_id]:[movie_id]],tblFinancials[[#All],[unit]],"Not Available",0)</f>
        <v>Millions</v>
      </c>
      <c r="L9" t="str" cm="1">
        <f t="array" ref="L9">_xlfn.XLOOKUP(tblMovies[[#This Row],[movie_id]:[movie_id]],tblFinancials[[#All],[movie_id]:[movie_id]],tblFinancials[[#All],[currency]],"Not Available",0)</f>
        <v>INR</v>
      </c>
      <c r="M9">
        <f>IF(tblMovies[[#This Row],[unit]]="Billions",tblMovies[[#This Row],[budget]]*1000,tblMovies[[#This Row],[budget]])</f>
        <v>550</v>
      </c>
      <c r="N9">
        <f>IF(tblMovies[[#This Row],[unit]]="Billions",tblMovies[[#This Row],[revenue]]*1000,tblMovies[[#This Row],[revenue]])</f>
        <v>4000</v>
      </c>
      <c r="O9">
        <f>IF(tblMovies[[#This Row],[currency]]="USD",tblMovies[[#This Row],[budget (mln)]]*80,tblMovies[[#This Row],[budget (mln)]])</f>
        <v>550</v>
      </c>
      <c r="P9">
        <f>IF(tblMovies[[#This Row],[currency]]="USD",tblMovies[[#This Row],[revenue (mln)]]*80,tblMovies[[#This Row],[revenue (mln)]])</f>
        <v>4000</v>
      </c>
      <c r="Q9">
        <f>IF(tblMovies[[#This Row],[currency]]="INR",tblMovies[[#This Row],[budget (mln)]]/80,tblMovies[[#This Row],[budget (mln)]])</f>
        <v>6.875</v>
      </c>
      <c r="R9">
        <f>IF(tblMovies[[#This Row],[currency]]="INR",tblMovies[[#This Row],[revenue (mln)]]/80,tblMovies[[#This Row],[revenue (mln)]])</f>
        <v>50</v>
      </c>
    </row>
    <row r="10" spans="1:18">
      <c r="A10">
        <v>109</v>
      </c>
      <c r="B10" t="s">
        <v>33</v>
      </c>
      <c r="C10" t="s">
        <v>19</v>
      </c>
      <c r="D10">
        <v>2001</v>
      </c>
      <c r="E10">
        <v>7.4</v>
      </c>
      <c r="F10" t="s">
        <v>34</v>
      </c>
      <c r="G10">
        <v>1</v>
      </c>
      <c r="H10" t="str">
        <f>_xlfn.XLOOKUP(tblMovies[[#This Row],[language_id]],tblLanguages[language_id],tblLanguages[name],"Unknown")</f>
        <v>Hindi</v>
      </c>
      <c r="I10" cm="1">
        <f t="array" ref="I10">_xlfn.XLOOKUP(tblMovies[[#This Row],[movie_id]:[movie_id]],tblFinancials[[#All],[movie_id]:[movie_id]],tblFinancials[[#All],[budget]],"Not Available",0)</f>
        <v>390</v>
      </c>
      <c r="J10" cm="1">
        <f t="array" ref="J10">_xlfn.XLOOKUP(tblMovies[[#This Row],[movie_id]:[movie_id]],tblFinancials[[#All],[movie_id]:[movie_id]],tblFinancials[[#All],[revenue]],"Not Available",0)</f>
        <v>1360</v>
      </c>
      <c r="K10" t="str" cm="1">
        <f t="array" ref="K10">_xlfn.XLOOKUP(tblMovies[[#This Row],[movie_id]:[movie_id]],tblFinancials[[#All],[movie_id]:[movie_id]],tblFinancials[[#All],[unit]],"Not Available",0)</f>
        <v>Millions</v>
      </c>
      <c r="L10" t="str" cm="1">
        <f t="array" ref="L10">_xlfn.XLOOKUP(tblMovies[[#This Row],[movie_id]:[movie_id]],tblFinancials[[#All],[movie_id]:[movie_id]],tblFinancials[[#All],[currency]],"Not Available",0)</f>
        <v>INR</v>
      </c>
      <c r="M10">
        <f>IF(tblMovies[[#This Row],[unit]]="Billions",tblMovies[[#This Row],[budget]]*1000,tblMovies[[#This Row],[budget]])</f>
        <v>390</v>
      </c>
      <c r="N10">
        <f>IF(tblMovies[[#This Row],[unit]]="Billions",tblMovies[[#This Row],[revenue]]*1000,tblMovies[[#This Row],[revenue]])</f>
        <v>1360</v>
      </c>
      <c r="O10">
        <f>IF(tblMovies[[#This Row],[currency]]="USD",tblMovies[[#This Row],[budget (mln)]]*80,tblMovies[[#This Row],[budget (mln)]])</f>
        <v>390</v>
      </c>
      <c r="P10">
        <f>IF(tblMovies[[#This Row],[currency]]="USD",tblMovies[[#This Row],[revenue (mln)]]*80,tblMovies[[#This Row],[revenue (mln)]])</f>
        <v>1360</v>
      </c>
      <c r="Q10">
        <f>IF(tblMovies[[#This Row],[currency]]="INR",tblMovies[[#This Row],[budget (mln)]]/80,tblMovies[[#This Row],[budget (mln)]])</f>
        <v>4.875</v>
      </c>
      <c r="R10">
        <f>IF(tblMovies[[#This Row],[currency]]="INR",tblMovies[[#This Row],[revenue (mln)]]/80,tblMovies[[#This Row],[revenue (mln)]])</f>
        <v>17</v>
      </c>
    </row>
    <row r="11" spans="1:18">
      <c r="A11">
        <v>110</v>
      </c>
      <c r="B11" t="s">
        <v>35</v>
      </c>
      <c r="C11" t="s">
        <v>19</v>
      </c>
      <c r="D11">
        <v>2015</v>
      </c>
      <c r="E11">
        <v>7.2</v>
      </c>
      <c r="F11" t="s">
        <v>36</v>
      </c>
      <c r="G11">
        <v>1</v>
      </c>
      <c r="H11" t="str">
        <f>_xlfn.XLOOKUP(tblMovies[[#This Row],[language_id]],tblLanguages[language_id],tblLanguages[name],"Unknown")</f>
        <v>Hindi</v>
      </c>
      <c r="I11" cm="1">
        <f t="array" ref="I11">_xlfn.XLOOKUP(tblMovies[[#This Row],[movie_id]:[movie_id]],tblFinancials[[#All],[movie_id]:[movie_id]],tblFinancials[[#All],[budget]],"Not Available",0)</f>
        <v>1.4</v>
      </c>
      <c r="J11" cm="1">
        <f t="array" ref="J11">_xlfn.XLOOKUP(tblMovies[[#This Row],[movie_id]:[movie_id]],tblFinancials[[#All],[movie_id]:[movie_id]],tblFinancials[[#All],[revenue]],"Not Available",0)</f>
        <v>3.5</v>
      </c>
      <c r="K11" t="str" cm="1">
        <f t="array" ref="K11">_xlfn.XLOOKUP(tblMovies[[#This Row],[movie_id]:[movie_id]],tblFinancials[[#All],[movie_id]:[movie_id]],tblFinancials[[#All],[unit]],"Not Available",0)</f>
        <v>Billions</v>
      </c>
      <c r="L11" t="str" cm="1">
        <f t="array" ref="L11">_xlfn.XLOOKUP(tblMovies[[#This Row],[movie_id]:[movie_id]],tblFinancials[[#All],[movie_id]:[movie_id]],tblFinancials[[#All],[currency]],"Not Available",0)</f>
        <v>INR</v>
      </c>
      <c r="M11">
        <f>IF(tblMovies[[#This Row],[unit]]="Billions",tblMovies[[#This Row],[budget]]*1000,tblMovies[[#This Row],[budget]])</f>
        <v>1400</v>
      </c>
      <c r="N11">
        <f>IF(tblMovies[[#This Row],[unit]]="Billions",tblMovies[[#This Row],[revenue]]*1000,tblMovies[[#This Row],[revenue]])</f>
        <v>3500</v>
      </c>
      <c r="O11">
        <f>IF(tblMovies[[#This Row],[currency]]="USD",tblMovies[[#This Row],[budget (mln)]]*80,tblMovies[[#This Row],[budget (mln)]])</f>
        <v>1400</v>
      </c>
      <c r="P11">
        <f>IF(tblMovies[[#This Row],[currency]]="USD",tblMovies[[#This Row],[revenue (mln)]]*80,tblMovies[[#This Row],[revenue (mln)]])</f>
        <v>3500</v>
      </c>
      <c r="Q11">
        <f>IF(tblMovies[[#This Row],[currency]]="INR",tblMovies[[#This Row],[budget (mln)]]/80,tblMovies[[#This Row],[budget (mln)]])</f>
        <v>17.5</v>
      </c>
      <c r="R11">
        <f>IF(tblMovies[[#This Row],[currency]]="INR",tblMovies[[#This Row],[revenue (mln)]]/80,tblMovies[[#This Row],[revenue (mln)]])</f>
        <v>43.75</v>
      </c>
    </row>
    <row r="12" spans="1:18">
      <c r="A12">
        <v>111</v>
      </c>
      <c r="B12" t="s">
        <v>37</v>
      </c>
      <c r="C12" t="s">
        <v>22</v>
      </c>
      <c r="D12">
        <v>1994</v>
      </c>
      <c r="E12">
        <v>9.3000000000000007</v>
      </c>
      <c r="F12" t="s">
        <v>38</v>
      </c>
      <c r="G12">
        <v>5</v>
      </c>
      <c r="H12" t="str">
        <f>_xlfn.XLOOKUP(tblMovies[[#This Row],[language_id]],tblLanguages[language_id],tblLanguages[name],"Unknown")</f>
        <v>English</v>
      </c>
      <c r="I12" cm="1">
        <f t="array" ref="I12">_xlfn.XLOOKUP(tblMovies[[#This Row],[movie_id]:[movie_id]],tblFinancials[[#All],[movie_id]:[movie_id]],tblFinancials[[#All],[budget]],"Not Available",0)</f>
        <v>25</v>
      </c>
      <c r="J12" cm="1">
        <f t="array" ref="J12">_xlfn.XLOOKUP(tblMovies[[#This Row],[movie_id]:[movie_id]],tblFinancials[[#All],[movie_id]:[movie_id]],tblFinancials[[#All],[revenue]],"Not Available",0)</f>
        <v>73.3</v>
      </c>
      <c r="K12" t="str" cm="1">
        <f t="array" ref="K12">_xlfn.XLOOKUP(tblMovies[[#This Row],[movie_id]:[movie_id]],tblFinancials[[#All],[movie_id]:[movie_id]],tblFinancials[[#All],[unit]],"Not Available",0)</f>
        <v>Millions</v>
      </c>
      <c r="L12" t="str" cm="1">
        <f t="array" ref="L12">_xlfn.XLOOKUP(tblMovies[[#This Row],[movie_id]:[movie_id]],tblFinancials[[#All],[movie_id]:[movie_id]],tblFinancials[[#All],[currency]],"Not Available",0)</f>
        <v>USD</v>
      </c>
      <c r="M12">
        <f>IF(tblMovies[[#This Row],[unit]]="Billions",tblMovies[[#This Row],[budget]]*1000,tblMovies[[#This Row],[budget]])</f>
        <v>25</v>
      </c>
      <c r="N12">
        <f>IF(tblMovies[[#This Row],[unit]]="Billions",tblMovies[[#This Row],[revenue]]*1000,tblMovies[[#This Row],[revenue]])</f>
        <v>73.3</v>
      </c>
      <c r="O12">
        <f>IF(tblMovies[[#This Row],[currency]]="USD",tblMovies[[#This Row],[budget (mln)]]*80,tblMovies[[#This Row],[budget (mln)]])</f>
        <v>2000</v>
      </c>
      <c r="P12">
        <f>IF(tblMovies[[#This Row],[currency]]="USD",tblMovies[[#This Row],[revenue (mln)]]*80,tblMovies[[#This Row],[revenue (mln)]])</f>
        <v>5864</v>
      </c>
      <c r="Q12">
        <f>IF(tblMovies[[#This Row],[currency]]="INR",tblMovies[[#This Row],[budget (mln)]]/80,tblMovies[[#This Row],[budget (mln)]])</f>
        <v>25</v>
      </c>
      <c r="R12">
        <f>IF(tblMovies[[#This Row],[currency]]="INR",tblMovies[[#This Row],[revenue (mln)]]/80,tblMovies[[#This Row],[revenue (mln)]])</f>
        <v>73.3</v>
      </c>
    </row>
    <row r="13" spans="1:18">
      <c r="A13">
        <v>112</v>
      </c>
      <c r="B13" t="s">
        <v>39</v>
      </c>
      <c r="C13" t="s">
        <v>22</v>
      </c>
      <c r="D13">
        <v>2010</v>
      </c>
      <c r="E13">
        <v>8.8000000000000007</v>
      </c>
      <c r="F13" t="s">
        <v>40</v>
      </c>
      <c r="G13">
        <v>5</v>
      </c>
      <c r="H13" t="str">
        <f>_xlfn.XLOOKUP(tblMovies[[#This Row],[language_id]],tblLanguages[language_id],tblLanguages[name],"Unknown")</f>
        <v>English</v>
      </c>
      <c r="I13" t="str" cm="1">
        <f t="array" ref="I13">_xlfn.XLOOKUP(tblMovies[[#This Row],[movie_id]:[movie_id]],tblFinancials[[#All],[movie_id]:[movie_id]],tblFinancials[[#All],[budget]],"Not Available",0)</f>
        <v>Not Available</v>
      </c>
      <c r="J13" t="str" cm="1">
        <f t="array" ref="J13">_xlfn.XLOOKUP(tblMovies[[#This Row],[movie_id]:[movie_id]],tblFinancials[[#All],[movie_id]:[movie_id]],tblFinancials[[#All],[revenue]],"Not Available",0)</f>
        <v>Not Available</v>
      </c>
      <c r="K13" t="str" cm="1">
        <f t="array" ref="K13">_xlfn.XLOOKUP(tblMovies[[#This Row],[movie_id]:[movie_id]],tblFinancials[[#All],[movie_id]:[movie_id]],tblFinancials[[#All],[unit]],"Not Available",0)</f>
        <v>Not Available</v>
      </c>
      <c r="L13" t="str" cm="1">
        <f t="array" ref="L13">_xlfn.XLOOKUP(tblMovies[[#This Row],[movie_id]:[movie_id]],tblFinancials[[#All],[movie_id]:[movie_id]],tblFinancials[[#All],[currency]],"Not Available",0)</f>
        <v>Not Available</v>
      </c>
      <c r="M13" t="str">
        <f>IF(tblMovies[[#This Row],[unit]]="Billions",tblMovies[[#This Row],[budget]]*1000,tblMovies[[#This Row],[budget]])</f>
        <v>Not Available</v>
      </c>
      <c r="N13" t="str">
        <f>IF(tblMovies[[#This Row],[unit]]="Billions",tblMovies[[#This Row],[revenue]]*1000,tblMovies[[#This Row],[revenue]])</f>
        <v>Not Available</v>
      </c>
      <c r="O13" t="str">
        <f>IF(tblMovies[[#This Row],[currency]]="USD",tblMovies[[#This Row],[budget (mln)]]*80,tblMovies[[#This Row],[budget (mln)]])</f>
        <v>Not Available</v>
      </c>
      <c r="P13" t="str">
        <f>IF(tblMovies[[#This Row],[currency]]="USD",tblMovies[[#This Row],[revenue (mln)]]*80,tblMovies[[#This Row],[revenue (mln)]])</f>
        <v>Not Available</v>
      </c>
      <c r="Q13" t="str">
        <f>IF(tblMovies[[#This Row],[currency]]="INR",tblMovies[[#This Row],[budget (mln)]]/80,tblMovies[[#This Row],[budget (mln)]])</f>
        <v>Not Available</v>
      </c>
      <c r="R13" t="str">
        <f>IF(tblMovies[[#This Row],[currency]]="INR",tblMovies[[#This Row],[revenue (mln)]]/80,tblMovies[[#This Row],[revenue (mln)]])</f>
        <v>Not Available</v>
      </c>
    </row>
    <row r="14" spans="1:18">
      <c r="A14">
        <v>113</v>
      </c>
      <c r="B14" t="s">
        <v>41</v>
      </c>
      <c r="C14" t="s">
        <v>22</v>
      </c>
      <c r="D14">
        <v>2014</v>
      </c>
      <c r="E14">
        <v>8.6</v>
      </c>
      <c r="F14" t="s">
        <v>40</v>
      </c>
      <c r="G14">
        <v>5</v>
      </c>
      <c r="H14" t="str">
        <f>_xlfn.XLOOKUP(tblMovies[[#This Row],[language_id]],tblLanguages[language_id],tblLanguages[name],"Unknown")</f>
        <v>English</v>
      </c>
      <c r="I14" cm="1">
        <f t="array" ref="I14">_xlfn.XLOOKUP(tblMovies[[#This Row],[movie_id]:[movie_id]],tblFinancials[[#All],[movie_id]:[movie_id]],tblFinancials[[#All],[budget]],"Not Available",0)</f>
        <v>165</v>
      </c>
      <c r="J14" cm="1">
        <f t="array" ref="J14">_xlfn.XLOOKUP(tblMovies[[#This Row],[movie_id]:[movie_id]],tblFinancials[[#All],[movie_id]:[movie_id]],tblFinancials[[#All],[revenue]],"Not Available",0)</f>
        <v>701.8</v>
      </c>
      <c r="K14" t="str" cm="1">
        <f t="array" ref="K14">_xlfn.XLOOKUP(tblMovies[[#This Row],[movie_id]:[movie_id]],tblFinancials[[#All],[movie_id]:[movie_id]],tblFinancials[[#All],[unit]],"Not Available",0)</f>
        <v>Millions</v>
      </c>
      <c r="L14" t="str" cm="1">
        <f t="array" ref="L14">_xlfn.XLOOKUP(tblMovies[[#This Row],[movie_id]:[movie_id]],tblFinancials[[#All],[movie_id]:[movie_id]],tblFinancials[[#All],[currency]],"Not Available",0)</f>
        <v>USD</v>
      </c>
      <c r="M14">
        <f>IF(tblMovies[[#This Row],[unit]]="Billions",tblMovies[[#This Row],[budget]]*1000,tblMovies[[#This Row],[budget]])</f>
        <v>165</v>
      </c>
      <c r="N14">
        <f>IF(tblMovies[[#This Row],[unit]]="Billions",tblMovies[[#This Row],[revenue]]*1000,tblMovies[[#This Row],[revenue]])</f>
        <v>701.8</v>
      </c>
      <c r="O14">
        <f>IF(tblMovies[[#This Row],[currency]]="USD",tblMovies[[#This Row],[budget (mln)]]*80,tblMovies[[#This Row],[budget (mln)]])</f>
        <v>13200</v>
      </c>
      <c r="P14">
        <f>IF(tblMovies[[#This Row],[currency]]="USD",tblMovies[[#This Row],[revenue (mln)]]*80,tblMovies[[#This Row],[revenue (mln)]])</f>
        <v>56144</v>
      </c>
      <c r="Q14">
        <f>IF(tblMovies[[#This Row],[currency]]="INR",tblMovies[[#This Row],[budget (mln)]]/80,tblMovies[[#This Row],[budget (mln)]])</f>
        <v>165</v>
      </c>
      <c r="R14">
        <f>IF(tblMovies[[#This Row],[currency]]="INR",tblMovies[[#This Row],[revenue (mln)]]/80,tblMovies[[#This Row],[revenue (mln)]])</f>
        <v>701.8</v>
      </c>
    </row>
    <row r="15" spans="1:18">
      <c r="A15">
        <v>115</v>
      </c>
      <c r="B15" t="s">
        <v>42</v>
      </c>
      <c r="C15" t="s">
        <v>22</v>
      </c>
      <c r="D15">
        <v>2006</v>
      </c>
      <c r="E15">
        <v>8</v>
      </c>
      <c r="F15" t="s">
        <v>43</v>
      </c>
      <c r="G15">
        <v>5</v>
      </c>
      <c r="H15" t="str">
        <f>_xlfn.XLOOKUP(tblMovies[[#This Row],[language_id]],tblLanguages[language_id],tblLanguages[name],"Unknown")</f>
        <v>English</v>
      </c>
      <c r="I15" cm="1">
        <f t="array" ref="I15">_xlfn.XLOOKUP(tblMovies[[#This Row],[movie_id]:[movie_id]],tblFinancials[[#All],[movie_id]:[movie_id]],tblFinancials[[#All],[budget]],"Not Available",0)</f>
        <v>55</v>
      </c>
      <c r="J15" cm="1">
        <f t="array" ref="J15">_xlfn.XLOOKUP(tblMovies[[#This Row],[movie_id]:[movie_id]],tblFinancials[[#All],[movie_id]:[movie_id]],tblFinancials[[#All],[revenue]],"Not Available",0)</f>
        <v>307.10000000000002</v>
      </c>
      <c r="K15" t="str" cm="1">
        <f t="array" ref="K15">_xlfn.XLOOKUP(tblMovies[[#This Row],[movie_id]:[movie_id]],tblFinancials[[#All],[movie_id]:[movie_id]],tblFinancials[[#All],[unit]],"Not Available",0)</f>
        <v>Millions</v>
      </c>
      <c r="L15" t="str" cm="1">
        <f t="array" ref="L15">_xlfn.XLOOKUP(tblMovies[[#This Row],[movie_id]:[movie_id]],tblFinancials[[#All],[movie_id]:[movie_id]],tblFinancials[[#All],[currency]],"Not Available",0)</f>
        <v>USD</v>
      </c>
      <c r="M15">
        <f>IF(tblMovies[[#This Row],[unit]]="Billions",tblMovies[[#This Row],[budget]]*1000,tblMovies[[#This Row],[budget]])</f>
        <v>55</v>
      </c>
      <c r="N15">
        <f>IF(tblMovies[[#This Row],[unit]]="Billions",tblMovies[[#This Row],[revenue]]*1000,tblMovies[[#This Row],[revenue]])</f>
        <v>307.10000000000002</v>
      </c>
      <c r="O15">
        <f>IF(tblMovies[[#This Row],[currency]]="USD",tblMovies[[#This Row],[budget (mln)]]*80,tblMovies[[#This Row],[budget (mln)]])</f>
        <v>4400</v>
      </c>
      <c r="P15">
        <f>IF(tblMovies[[#This Row],[currency]]="USD",tblMovies[[#This Row],[revenue (mln)]]*80,tblMovies[[#This Row],[revenue (mln)]])</f>
        <v>24568</v>
      </c>
      <c r="Q15">
        <f>IF(tblMovies[[#This Row],[currency]]="INR",tblMovies[[#This Row],[budget (mln)]]/80,tblMovies[[#This Row],[budget (mln)]])</f>
        <v>55</v>
      </c>
      <c r="R15">
        <f>IF(tblMovies[[#This Row],[currency]]="INR",tblMovies[[#This Row],[revenue (mln)]]/80,tblMovies[[#This Row],[revenue (mln)]])</f>
        <v>307.10000000000002</v>
      </c>
    </row>
    <row r="16" spans="1:18">
      <c r="A16">
        <v>116</v>
      </c>
      <c r="B16" t="s">
        <v>44</v>
      </c>
      <c r="C16" t="s">
        <v>22</v>
      </c>
      <c r="D16">
        <v>2000</v>
      </c>
      <c r="E16">
        <v>8.5</v>
      </c>
      <c r="F16" t="s">
        <v>45</v>
      </c>
      <c r="G16">
        <v>5</v>
      </c>
      <c r="H16" t="str">
        <f>_xlfn.XLOOKUP(tblMovies[[#This Row],[language_id]],tblLanguages[language_id],tblLanguages[name],"Unknown")</f>
        <v>English</v>
      </c>
      <c r="I16" cm="1">
        <f t="array" ref="I16">_xlfn.XLOOKUP(tblMovies[[#This Row],[movie_id]:[movie_id]],tblFinancials[[#All],[movie_id]:[movie_id]],tblFinancials[[#All],[budget]],"Not Available",0)</f>
        <v>103</v>
      </c>
      <c r="J16" cm="1">
        <f t="array" ref="J16">_xlfn.XLOOKUP(tblMovies[[#This Row],[movie_id]:[movie_id]],tblFinancials[[#All],[movie_id]:[movie_id]],tblFinancials[[#All],[revenue]],"Not Available",0)</f>
        <v>460.5</v>
      </c>
      <c r="K16" t="str" cm="1">
        <f t="array" ref="K16">_xlfn.XLOOKUP(tblMovies[[#This Row],[movie_id]:[movie_id]],tblFinancials[[#All],[movie_id]:[movie_id]],tblFinancials[[#All],[unit]],"Not Available",0)</f>
        <v>Millions</v>
      </c>
      <c r="L16" t="str" cm="1">
        <f t="array" ref="L16">_xlfn.XLOOKUP(tblMovies[[#This Row],[movie_id]:[movie_id]],tblFinancials[[#All],[movie_id]:[movie_id]],tblFinancials[[#All],[currency]],"Not Available",0)</f>
        <v>USD</v>
      </c>
      <c r="M16">
        <f>IF(tblMovies[[#This Row],[unit]]="Billions",tblMovies[[#This Row],[budget]]*1000,tblMovies[[#This Row],[budget]])</f>
        <v>103</v>
      </c>
      <c r="N16">
        <f>IF(tblMovies[[#This Row],[unit]]="Billions",tblMovies[[#This Row],[revenue]]*1000,tblMovies[[#This Row],[revenue]])</f>
        <v>460.5</v>
      </c>
      <c r="O16">
        <f>IF(tblMovies[[#This Row],[currency]]="USD",tblMovies[[#This Row],[budget (mln)]]*80,tblMovies[[#This Row],[budget (mln)]])</f>
        <v>8240</v>
      </c>
      <c r="P16">
        <f>IF(tblMovies[[#This Row],[currency]]="USD",tblMovies[[#This Row],[revenue (mln)]]*80,tblMovies[[#This Row],[revenue (mln)]])</f>
        <v>36840</v>
      </c>
      <c r="Q16">
        <f>IF(tblMovies[[#This Row],[currency]]="INR",tblMovies[[#This Row],[budget (mln)]]/80,tblMovies[[#This Row],[budget (mln)]])</f>
        <v>103</v>
      </c>
      <c r="R16">
        <f>IF(tblMovies[[#This Row],[currency]]="INR",tblMovies[[#This Row],[revenue (mln)]]/80,tblMovies[[#This Row],[revenue (mln)]])</f>
        <v>460.5</v>
      </c>
    </row>
    <row r="17" spans="1:18">
      <c r="A17">
        <v>117</v>
      </c>
      <c r="B17" t="s">
        <v>46</v>
      </c>
      <c r="C17" t="s">
        <v>22</v>
      </c>
      <c r="D17">
        <v>1997</v>
      </c>
      <c r="E17">
        <v>7.9</v>
      </c>
      <c r="F17" t="s">
        <v>47</v>
      </c>
      <c r="G17">
        <v>5</v>
      </c>
      <c r="H17" t="str">
        <f>_xlfn.XLOOKUP(tblMovies[[#This Row],[language_id]],tblLanguages[language_id],tblLanguages[name],"Unknown")</f>
        <v>English</v>
      </c>
      <c r="I17" cm="1">
        <f t="array" ref="I17">_xlfn.XLOOKUP(tblMovies[[#This Row],[movie_id]:[movie_id]],tblFinancials[[#All],[movie_id]:[movie_id]],tblFinancials[[#All],[budget]],"Not Available",0)</f>
        <v>200</v>
      </c>
      <c r="J17" cm="1">
        <f t="array" ref="J17">_xlfn.XLOOKUP(tblMovies[[#This Row],[movie_id]:[movie_id]],tblFinancials[[#All],[movie_id]:[movie_id]],tblFinancials[[#All],[revenue]],"Not Available",0)</f>
        <v>2202</v>
      </c>
      <c r="K17" t="str" cm="1">
        <f t="array" ref="K17">_xlfn.XLOOKUP(tblMovies[[#This Row],[movie_id]:[movie_id]],tblFinancials[[#All],[movie_id]:[movie_id]],tblFinancials[[#All],[unit]],"Not Available",0)</f>
        <v>Millions</v>
      </c>
      <c r="L17" t="str" cm="1">
        <f t="array" ref="L17">_xlfn.XLOOKUP(tblMovies[[#This Row],[movie_id]:[movie_id]],tblFinancials[[#All],[movie_id]:[movie_id]],tblFinancials[[#All],[currency]],"Not Available",0)</f>
        <v>USD</v>
      </c>
      <c r="M17">
        <f>IF(tblMovies[[#This Row],[unit]]="Billions",tblMovies[[#This Row],[budget]]*1000,tblMovies[[#This Row],[budget]])</f>
        <v>200</v>
      </c>
      <c r="N17">
        <f>IF(tblMovies[[#This Row],[unit]]="Billions",tblMovies[[#This Row],[revenue]]*1000,tblMovies[[#This Row],[revenue]])</f>
        <v>2202</v>
      </c>
      <c r="O17">
        <f>IF(tblMovies[[#This Row],[currency]]="USD",tblMovies[[#This Row],[budget (mln)]]*80,tblMovies[[#This Row],[budget (mln)]])</f>
        <v>16000</v>
      </c>
      <c r="P17">
        <f>IF(tblMovies[[#This Row],[currency]]="USD",tblMovies[[#This Row],[revenue (mln)]]*80,tblMovies[[#This Row],[revenue (mln)]])</f>
        <v>176160</v>
      </c>
      <c r="Q17">
        <f>IF(tblMovies[[#This Row],[currency]]="INR",tblMovies[[#This Row],[budget (mln)]]/80,tblMovies[[#This Row],[budget (mln)]])</f>
        <v>200</v>
      </c>
      <c r="R17">
        <f>IF(tblMovies[[#This Row],[currency]]="INR",tblMovies[[#This Row],[revenue (mln)]]/80,tblMovies[[#This Row],[revenue (mln)]])</f>
        <v>2202</v>
      </c>
    </row>
    <row r="18" spans="1:18">
      <c r="A18">
        <v>118</v>
      </c>
      <c r="B18" t="s">
        <v>48</v>
      </c>
      <c r="C18" t="s">
        <v>22</v>
      </c>
      <c r="D18">
        <v>1946</v>
      </c>
      <c r="E18">
        <v>8.6</v>
      </c>
      <c r="F18" t="s">
        <v>49</v>
      </c>
      <c r="G18">
        <v>5</v>
      </c>
      <c r="H18" t="str">
        <f>_xlfn.XLOOKUP(tblMovies[[#This Row],[language_id]],tblLanguages[language_id],tblLanguages[name],"Unknown")</f>
        <v>English</v>
      </c>
      <c r="I18" cm="1">
        <f t="array" ref="I18">_xlfn.XLOOKUP(tblMovies[[#This Row],[movie_id]:[movie_id]],tblFinancials[[#All],[movie_id]:[movie_id]],tblFinancials[[#All],[budget]],"Not Available",0)</f>
        <v>3.18</v>
      </c>
      <c r="J18" cm="1">
        <f t="array" ref="J18">_xlfn.XLOOKUP(tblMovies[[#This Row],[movie_id]:[movie_id]],tblFinancials[[#All],[movie_id]:[movie_id]],tblFinancials[[#All],[revenue]],"Not Available",0)</f>
        <v>3.3</v>
      </c>
      <c r="K18" t="str" cm="1">
        <f t="array" ref="K18">_xlfn.XLOOKUP(tblMovies[[#This Row],[movie_id]:[movie_id]],tblFinancials[[#All],[movie_id]:[movie_id]],tblFinancials[[#All],[unit]],"Not Available",0)</f>
        <v>Millions</v>
      </c>
      <c r="L18" t="str" cm="1">
        <f t="array" ref="L18">_xlfn.XLOOKUP(tblMovies[[#This Row],[movie_id]:[movie_id]],tblFinancials[[#All],[movie_id]:[movie_id]],tblFinancials[[#All],[currency]],"Not Available",0)</f>
        <v>USD</v>
      </c>
      <c r="M18">
        <f>IF(tblMovies[[#This Row],[unit]]="Billions",tblMovies[[#This Row],[budget]]*1000,tblMovies[[#This Row],[budget]])</f>
        <v>3.18</v>
      </c>
      <c r="N18">
        <f>IF(tblMovies[[#This Row],[unit]]="Billions",tblMovies[[#This Row],[revenue]]*1000,tblMovies[[#This Row],[revenue]])</f>
        <v>3.3</v>
      </c>
      <c r="O18">
        <f>IF(tblMovies[[#This Row],[currency]]="USD",tblMovies[[#This Row],[budget (mln)]]*80,tblMovies[[#This Row],[budget (mln)]])</f>
        <v>254.4</v>
      </c>
      <c r="P18">
        <f>IF(tblMovies[[#This Row],[currency]]="USD",tblMovies[[#This Row],[revenue (mln)]]*80,tblMovies[[#This Row],[revenue (mln)]])</f>
        <v>264</v>
      </c>
      <c r="Q18">
        <f>IF(tblMovies[[#This Row],[currency]]="INR",tblMovies[[#This Row],[budget (mln)]]/80,tblMovies[[#This Row],[budget (mln)]])</f>
        <v>3.18</v>
      </c>
      <c r="R18">
        <f>IF(tblMovies[[#This Row],[currency]]="INR",tblMovies[[#This Row],[revenue (mln)]]/80,tblMovies[[#This Row],[revenue (mln)]])</f>
        <v>3.3</v>
      </c>
    </row>
    <row r="19" spans="1:18">
      <c r="A19">
        <v>119</v>
      </c>
      <c r="B19" t="s">
        <v>50</v>
      </c>
      <c r="C19" t="s">
        <v>22</v>
      </c>
      <c r="D19">
        <v>2009</v>
      </c>
      <c r="E19">
        <v>7.8</v>
      </c>
      <c r="F19" t="s">
        <v>51</v>
      </c>
      <c r="G19">
        <v>5</v>
      </c>
      <c r="H19" t="str">
        <f>_xlfn.XLOOKUP(tblMovies[[#This Row],[language_id]],tblLanguages[language_id],tblLanguages[name],"Unknown")</f>
        <v>English</v>
      </c>
      <c r="I19" cm="1">
        <f t="array" ref="I19">_xlfn.XLOOKUP(tblMovies[[#This Row],[movie_id]:[movie_id]],tblFinancials[[#All],[movie_id]:[movie_id]],tblFinancials[[#All],[budget]],"Not Available",0)</f>
        <v>237</v>
      </c>
      <c r="J19" cm="1">
        <f t="array" ref="J19">_xlfn.XLOOKUP(tblMovies[[#This Row],[movie_id]:[movie_id]],tblFinancials[[#All],[movie_id]:[movie_id]],tblFinancials[[#All],[revenue]],"Not Available",0)</f>
        <v>2847</v>
      </c>
      <c r="K19" t="str" cm="1">
        <f t="array" ref="K19">_xlfn.XLOOKUP(tblMovies[[#This Row],[movie_id]:[movie_id]],tblFinancials[[#All],[movie_id]:[movie_id]],tblFinancials[[#All],[unit]],"Not Available",0)</f>
        <v>Millions</v>
      </c>
      <c r="L19" t="str" cm="1">
        <f t="array" ref="L19">_xlfn.XLOOKUP(tblMovies[[#This Row],[movie_id]:[movie_id]],tblFinancials[[#All],[movie_id]:[movie_id]],tblFinancials[[#All],[currency]],"Not Available",0)</f>
        <v>USD</v>
      </c>
      <c r="M19">
        <f>IF(tblMovies[[#This Row],[unit]]="Billions",tblMovies[[#This Row],[budget]]*1000,tblMovies[[#This Row],[budget]])</f>
        <v>237</v>
      </c>
      <c r="N19">
        <f>IF(tblMovies[[#This Row],[unit]]="Billions",tblMovies[[#This Row],[revenue]]*1000,tblMovies[[#This Row],[revenue]])</f>
        <v>2847</v>
      </c>
      <c r="O19">
        <f>IF(tblMovies[[#This Row],[currency]]="USD",tblMovies[[#This Row],[budget (mln)]]*80,tblMovies[[#This Row],[budget (mln)]])</f>
        <v>18960</v>
      </c>
      <c r="P19">
        <f>IF(tblMovies[[#This Row],[currency]]="USD",tblMovies[[#This Row],[revenue (mln)]]*80,tblMovies[[#This Row],[revenue (mln)]])</f>
        <v>227760</v>
      </c>
      <c r="Q19">
        <f>IF(tblMovies[[#This Row],[currency]]="INR",tblMovies[[#This Row],[budget (mln)]]/80,tblMovies[[#This Row],[budget (mln)]])</f>
        <v>237</v>
      </c>
      <c r="R19">
        <f>IF(tblMovies[[#This Row],[currency]]="INR",tblMovies[[#This Row],[revenue (mln)]]/80,tblMovies[[#This Row],[revenue (mln)]])</f>
        <v>2847</v>
      </c>
    </row>
    <row r="20" spans="1:18">
      <c r="A20">
        <v>120</v>
      </c>
      <c r="B20" t="s">
        <v>52</v>
      </c>
      <c r="C20" t="s">
        <v>22</v>
      </c>
      <c r="D20">
        <v>1972</v>
      </c>
      <c r="E20">
        <v>9.1999999999999993</v>
      </c>
      <c r="F20" t="s">
        <v>47</v>
      </c>
      <c r="G20">
        <v>5</v>
      </c>
      <c r="H20" t="str">
        <f>_xlfn.XLOOKUP(tblMovies[[#This Row],[language_id]],tblLanguages[language_id],tblLanguages[name],"Unknown")</f>
        <v>English</v>
      </c>
      <c r="I20" cm="1">
        <f t="array" ref="I20">_xlfn.XLOOKUP(tblMovies[[#This Row],[movie_id]:[movie_id]],tblFinancials[[#All],[movie_id]:[movie_id]],tblFinancials[[#All],[budget]],"Not Available",0)</f>
        <v>7.2</v>
      </c>
      <c r="J20" cm="1">
        <f t="array" ref="J20">_xlfn.XLOOKUP(tblMovies[[#This Row],[movie_id]:[movie_id]],tblFinancials[[#All],[movie_id]:[movie_id]],tblFinancials[[#All],[revenue]],"Not Available",0)</f>
        <v>291</v>
      </c>
      <c r="K20" t="str" cm="1">
        <f t="array" ref="K20">_xlfn.XLOOKUP(tblMovies[[#This Row],[movie_id]:[movie_id]],tblFinancials[[#All],[movie_id]:[movie_id]],tblFinancials[[#All],[unit]],"Not Available",0)</f>
        <v>Millions</v>
      </c>
      <c r="L20" t="str" cm="1">
        <f t="array" ref="L20">_xlfn.XLOOKUP(tblMovies[[#This Row],[movie_id]:[movie_id]],tblFinancials[[#All],[movie_id]:[movie_id]],tblFinancials[[#All],[currency]],"Not Available",0)</f>
        <v>USD</v>
      </c>
      <c r="M20">
        <f>IF(tblMovies[[#This Row],[unit]]="Billions",tblMovies[[#This Row],[budget]]*1000,tblMovies[[#This Row],[budget]])</f>
        <v>7.2</v>
      </c>
      <c r="N20">
        <f>IF(tblMovies[[#This Row],[unit]]="Billions",tblMovies[[#This Row],[revenue]]*1000,tblMovies[[#This Row],[revenue]])</f>
        <v>291</v>
      </c>
      <c r="O20">
        <f>IF(tblMovies[[#This Row],[currency]]="USD",tblMovies[[#This Row],[budget (mln)]]*80,tblMovies[[#This Row],[budget (mln)]])</f>
        <v>576</v>
      </c>
      <c r="P20">
        <f>IF(tblMovies[[#This Row],[currency]]="USD",tblMovies[[#This Row],[revenue (mln)]]*80,tblMovies[[#This Row],[revenue (mln)]])</f>
        <v>23280</v>
      </c>
      <c r="Q20">
        <f>IF(tblMovies[[#This Row],[currency]]="INR",tblMovies[[#This Row],[budget (mln)]]/80,tblMovies[[#This Row],[budget (mln)]])</f>
        <v>7.2</v>
      </c>
      <c r="R20">
        <f>IF(tblMovies[[#This Row],[currency]]="INR",tblMovies[[#This Row],[revenue (mln)]]/80,tblMovies[[#This Row],[revenue (mln)]])</f>
        <v>291</v>
      </c>
    </row>
    <row r="21" spans="1:18">
      <c r="A21">
        <v>121</v>
      </c>
      <c r="B21" t="s">
        <v>53</v>
      </c>
      <c r="C21" t="s">
        <v>22</v>
      </c>
      <c r="D21">
        <v>2008</v>
      </c>
      <c r="E21">
        <v>9</v>
      </c>
      <c r="F21" t="s">
        <v>54</v>
      </c>
      <c r="G21">
        <v>5</v>
      </c>
      <c r="H21" t="str">
        <f>_xlfn.XLOOKUP(tblMovies[[#This Row],[language_id]],tblLanguages[language_id],tblLanguages[name],"Unknown")</f>
        <v>English</v>
      </c>
      <c r="I21" cm="1">
        <f t="array" ref="I21">_xlfn.XLOOKUP(tblMovies[[#This Row],[movie_id]:[movie_id]],tblFinancials[[#All],[movie_id]:[movie_id]],tblFinancials[[#All],[budget]],"Not Available",0)</f>
        <v>185</v>
      </c>
      <c r="J21" cm="1">
        <f t="array" ref="J21">_xlfn.XLOOKUP(tblMovies[[#This Row],[movie_id]:[movie_id]],tblFinancials[[#All],[movie_id]:[movie_id]],tblFinancials[[#All],[revenue]],"Not Available",0)</f>
        <v>1006</v>
      </c>
      <c r="K21" t="str" cm="1">
        <f t="array" ref="K21">_xlfn.XLOOKUP(tblMovies[[#This Row],[movie_id]:[movie_id]],tblFinancials[[#All],[movie_id]:[movie_id]],tblFinancials[[#All],[unit]],"Not Available",0)</f>
        <v>Millions</v>
      </c>
      <c r="L21" t="str" cm="1">
        <f t="array" ref="L21">_xlfn.XLOOKUP(tblMovies[[#This Row],[movie_id]:[movie_id]],tblFinancials[[#All],[movie_id]:[movie_id]],tblFinancials[[#All],[currency]],"Not Available",0)</f>
        <v>USD</v>
      </c>
      <c r="M21">
        <f>IF(tblMovies[[#This Row],[unit]]="Billions",tblMovies[[#This Row],[budget]]*1000,tblMovies[[#This Row],[budget]])</f>
        <v>185</v>
      </c>
      <c r="N21">
        <f>IF(tblMovies[[#This Row],[unit]]="Billions",tblMovies[[#This Row],[revenue]]*1000,tblMovies[[#This Row],[revenue]])</f>
        <v>1006</v>
      </c>
      <c r="O21">
        <f>IF(tblMovies[[#This Row],[currency]]="USD",tblMovies[[#This Row],[budget (mln)]]*80,tblMovies[[#This Row],[budget (mln)]])</f>
        <v>14800</v>
      </c>
      <c r="P21">
        <f>IF(tblMovies[[#This Row],[currency]]="USD",tblMovies[[#This Row],[revenue (mln)]]*80,tblMovies[[#This Row],[revenue (mln)]])</f>
        <v>80480</v>
      </c>
      <c r="Q21">
        <f>IF(tblMovies[[#This Row],[currency]]="INR",tblMovies[[#This Row],[budget (mln)]]/80,tblMovies[[#This Row],[budget (mln)]])</f>
        <v>185</v>
      </c>
      <c r="R21">
        <f>IF(tblMovies[[#This Row],[currency]]="INR",tblMovies[[#This Row],[revenue (mln)]]/80,tblMovies[[#This Row],[revenue (mln)]])</f>
        <v>1006</v>
      </c>
    </row>
    <row r="22" spans="1:18">
      <c r="A22">
        <v>122</v>
      </c>
      <c r="B22" t="s">
        <v>55</v>
      </c>
      <c r="C22" t="s">
        <v>22</v>
      </c>
      <c r="D22">
        <v>1993</v>
      </c>
      <c r="E22">
        <v>9</v>
      </c>
      <c r="F22" t="s">
        <v>45</v>
      </c>
      <c r="G22">
        <v>5</v>
      </c>
      <c r="H22" t="str">
        <f>_xlfn.XLOOKUP(tblMovies[[#This Row],[language_id]],tblLanguages[language_id],tblLanguages[name],"Unknown")</f>
        <v>English</v>
      </c>
      <c r="I22" cm="1">
        <f t="array" ref="I22">_xlfn.XLOOKUP(tblMovies[[#This Row],[movie_id]:[movie_id]],tblFinancials[[#All],[movie_id]:[movie_id]],tblFinancials[[#All],[budget]],"Not Available",0)</f>
        <v>22</v>
      </c>
      <c r="J22" cm="1">
        <f t="array" ref="J22">_xlfn.XLOOKUP(tblMovies[[#This Row],[movie_id]:[movie_id]],tblFinancials[[#All],[movie_id]:[movie_id]],tblFinancials[[#All],[revenue]],"Not Available",0)</f>
        <v>322.2</v>
      </c>
      <c r="K22" t="str" cm="1">
        <f t="array" ref="K22">_xlfn.XLOOKUP(tblMovies[[#This Row],[movie_id]:[movie_id]],tblFinancials[[#All],[movie_id]:[movie_id]],tblFinancials[[#All],[unit]],"Not Available",0)</f>
        <v>Millions</v>
      </c>
      <c r="L22" t="str" cm="1">
        <f t="array" ref="L22">_xlfn.XLOOKUP(tblMovies[[#This Row],[movie_id]:[movie_id]],tblFinancials[[#All],[movie_id]:[movie_id]],tblFinancials[[#All],[currency]],"Not Available",0)</f>
        <v>USD</v>
      </c>
      <c r="M22">
        <f>IF(tblMovies[[#This Row],[unit]]="Billions",tblMovies[[#This Row],[budget]]*1000,tblMovies[[#This Row],[budget]])</f>
        <v>22</v>
      </c>
      <c r="N22">
        <f>IF(tblMovies[[#This Row],[unit]]="Billions",tblMovies[[#This Row],[revenue]]*1000,tblMovies[[#This Row],[revenue]])</f>
        <v>322.2</v>
      </c>
      <c r="O22">
        <f>IF(tblMovies[[#This Row],[currency]]="USD",tblMovies[[#This Row],[budget (mln)]]*80,tblMovies[[#This Row],[budget (mln)]])</f>
        <v>1760</v>
      </c>
      <c r="P22">
        <f>IF(tblMovies[[#This Row],[currency]]="USD",tblMovies[[#This Row],[revenue (mln)]]*80,tblMovies[[#This Row],[revenue (mln)]])</f>
        <v>25776</v>
      </c>
      <c r="Q22">
        <f>IF(tblMovies[[#This Row],[currency]]="INR",tblMovies[[#This Row],[budget (mln)]]/80,tblMovies[[#This Row],[budget (mln)]])</f>
        <v>22</v>
      </c>
      <c r="R22">
        <f>IF(tblMovies[[#This Row],[currency]]="INR",tblMovies[[#This Row],[revenue (mln)]]/80,tblMovies[[#This Row],[revenue (mln)]])</f>
        <v>322.2</v>
      </c>
    </row>
    <row r="23" spans="1:18">
      <c r="A23">
        <v>123</v>
      </c>
      <c r="B23" t="s">
        <v>56</v>
      </c>
      <c r="C23" t="s">
        <v>22</v>
      </c>
      <c r="D23">
        <v>1993</v>
      </c>
      <c r="E23">
        <v>8.1999999999999993</v>
      </c>
      <c r="F23" t="s">
        <v>45</v>
      </c>
      <c r="G23">
        <v>5</v>
      </c>
      <c r="H23" t="str">
        <f>_xlfn.XLOOKUP(tblMovies[[#This Row],[language_id]],tblLanguages[language_id],tblLanguages[name],"Unknown")</f>
        <v>English</v>
      </c>
      <c r="I23" cm="1">
        <f t="array" ref="I23">_xlfn.XLOOKUP(tblMovies[[#This Row],[movie_id]:[movie_id]],tblFinancials[[#All],[movie_id]:[movie_id]],tblFinancials[[#All],[budget]],"Not Available",0)</f>
        <v>63</v>
      </c>
      <c r="J23" cm="1">
        <f t="array" ref="J23">_xlfn.XLOOKUP(tblMovies[[#This Row],[movie_id]:[movie_id]],tblFinancials[[#All],[movie_id]:[movie_id]],tblFinancials[[#All],[revenue]],"Not Available",0)</f>
        <v>1046</v>
      </c>
      <c r="K23" t="str" cm="1">
        <f t="array" ref="K23">_xlfn.XLOOKUP(tblMovies[[#This Row],[movie_id]:[movie_id]],tblFinancials[[#All],[movie_id]:[movie_id]],tblFinancials[[#All],[unit]],"Not Available",0)</f>
        <v>Millions</v>
      </c>
      <c r="L23" t="str" cm="1">
        <f t="array" ref="L23">_xlfn.XLOOKUP(tblMovies[[#This Row],[movie_id]:[movie_id]],tblFinancials[[#All],[movie_id]:[movie_id]],tblFinancials[[#All],[currency]],"Not Available",0)</f>
        <v>USD</v>
      </c>
      <c r="M23">
        <f>IF(tblMovies[[#This Row],[unit]]="Billions",tblMovies[[#This Row],[budget]]*1000,tblMovies[[#This Row],[budget]])</f>
        <v>63</v>
      </c>
      <c r="N23">
        <f>IF(tblMovies[[#This Row],[unit]]="Billions",tblMovies[[#This Row],[revenue]]*1000,tblMovies[[#This Row],[revenue]])</f>
        <v>1046</v>
      </c>
      <c r="O23">
        <f>IF(tblMovies[[#This Row],[currency]]="USD",tblMovies[[#This Row],[budget (mln)]]*80,tblMovies[[#This Row],[budget (mln)]])</f>
        <v>5040</v>
      </c>
      <c r="P23">
        <f>IF(tblMovies[[#This Row],[currency]]="USD",tblMovies[[#This Row],[revenue (mln)]]*80,tblMovies[[#This Row],[revenue (mln)]])</f>
        <v>83680</v>
      </c>
      <c r="Q23">
        <f>IF(tblMovies[[#This Row],[currency]]="INR",tblMovies[[#This Row],[budget (mln)]]/80,tblMovies[[#This Row],[budget (mln)]])</f>
        <v>63</v>
      </c>
      <c r="R23">
        <f>IF(tblMovies[[#This Row],[currency]]="INR",tblMovies[[#This Row],[revenue (mln)]]/80,tblMovies[[#This Row],[revenue (mln)]])</f>
        <v>1046</v>
      </c>
    </row>
    <row r="24" spans="1:18">
      <c r="A24">
        <v>124</v>
      </c>
      <c r="B24" t="s">
        <v>57</v>
      </c>
      <c r="C24" t="s">
        <v>22</v>
      </c>
      <c r="D24">
        <v>2019</v>
      </c>
      <c r="E24">
        <v>8.5</v>
      </c>
      <c r="F24" t="s">
        <v>36</v>
      </c>
      <c r="G24">
        <v>5</v>
      </c>
      <c r="H24" t="str">
        <f>_xlfn.XLOOKUP(tblMovies[[#This Row],[language_id]],tblLanguages[language_id],tblLanguages[name],"Unknown")</f>
        <v>English</v>
      </c>
      <c r="I24" cm="1">
        <f t="array" ref="I24">_xlfn.XLOOKUP(tblMovies[[#This Row],[movie_id]:[movie_id]],tblFinancials[[#All],[movie_id]:[movie_id]],tblFinancials[[#All],[budget]],"Not Available",0)</f>
        <v>15.5</v>
      </c>
      <c r="J24" cm="1">
        <f t="array" ref="J24">_xlfn.XLOOKUP(tblMovies[[#This Row],[movie_id]:[movie_id]],tblFinancials[[#All],[movie_id]:[movie_id]],tblFinancials[[#All],[revenue]],"Not Available",0)</f>
        <v>263.10000000000002</v>
      </c>
      <c r="K24" t="str" cm="1">
        <f t="array" ref="K24">_xlfn.XLOOKUP(tblMovies[[#This Row],[movie_id]:[movie_id]],tblFinancials[[#All],[movie_id]:[movie_id]],tblFinancials[[#All],[unit]],"Not Available",0)</f>
        <v>Millions</v>
      </c>
      <c r="L24" t="str" cm="1">
        <f t="array" ref="L24">_xlfn.XLOOKUP(tblMovies[[#This Row],[movie_id]:[movie_id]],tblFinancials[[#All],[movie_id]:[movie_id]],tblFinancials[[#All],[currency]],"Not Available",0)</f>
        <v>USD</v>
      </c>
      <c r="M24">
        <f>IF(tblMovies[[#This Row],[unit]]="Billions",tblMovies[[#This Row],[budget]]*1000,tblMovies[[#This Row],[budget]])</f>
        <v>15.5</v>
      </c>
      <c r="N24">
        <f>IF(tblMovies[[#This Row],[unit]]="Billions",tblMovies[[#This Row],[revenue]]*1000,tblMovies[[#This Row],[revenue]])</f>
        <v>263.10000000000002</v>
      </c>
      <c r="O24">
        <f>IF(tblMovies[[#This Row],[currency]]="USD",tblMovies[[#This Row],[budget (mln)]]*80,tblMovies[[#This Row],[budget (mln)]])</f>
        <v>1240</v>
      </c>
      <c r="P24">
        <f>IF(tblMovies[[#This Row],[currency]]="USD",tblMovies[[#This Row],[revenue (mln)]]*80,tblMovies[[#This Row],[revenue (mln)]])</f>
        <v>21048</v>
      </c>
      <c r="Q24">
        <f>IF(tblMovies[[#This Row],[currency]]="INR",tblMovies[[#This Row],[budget (mln)]]/80,tblMovies[[#This Row],[budget (mln)]])</f>
        <v>15.5</v>
      </c>
      <c r="R24">
        <f>IF(tblMovies[[#This Row],[currency]]="INR",tblMovies[[#This Row],[revenue (mln)]]/80,tblMovies[[#This Row],[revenue (mln)]])</f>
        <v>263.10000000000002</v>
      </c>
    </row>
    <row r="25" spans="1:18">
      <c r="A25">
        <v>125</v>
      </c>
      <c r="B25" t="s">
        <v>58</v>
      </c>
      <c r="C25" t="s">
        <v>22</v>
      </c>
      <c r="D25">
        <v>2019</v>
      </c>
      <c r="E25">
        <v>8.4</v>
      </c>
      <c r="F25" t="s">
        <v>23</v>
      </c>
      <c r="G25">
        <v>5</v>
      </c>
      <c r="H25" t="str">
        <f>_xlfn.XLOOKUP(tblMovies[[#This Row],[language_id]],tblLanguages[language_id],tblLanguages[name],"Unknown")</f>
        <v>English</v>
      </c>
      <c r="I25" cm="1">
        <f t="array" ref="I25">_xlfn.XLOOKUP(tblMovies[[#This Row],[movie_id]:[movie_id]],tblFinancials[[#All],[movie_id]:[movie_id]],tblFinancials[[#All],[budget]],"Not Available",0)</f>
        <v>400</v>
      </c>
      <c r="J25" cm="1">
        <f t="array" ref="J25">_xlfn.XLOOKUP(tblMovies[[#This Row],[movie_id]:[movie_id]],tblFinancials[[#All],[movie_id]:[movie_id]],tblFinancials[[#All],[revenue]],"Not Available",0)</f>
        <v>2798</v>
      </c>
      <c r="K25" t="str" cm="1">
        <f t="array" ref="K25">_xlfn.XLOOKUP(tblMovies[[#This Row],[movie_id]:[movie_id]],tblFinancials[[#All],[movie_id]:[movie_id]],tblFinancials[[#All],[unit]],"Not Available",0)</f>
        <v>Millions</v>
      </c>
      <c r="L25" t="str" cm="1">
        <f t="array" ref="L25">_xlfn.XLOOKUP(tblMovies[[#This Row],[movie_id]:[movie_id]],tblFinancials[[#All],[movie_id]:[movie_id]],tblFinancials[[#All],[currency]],"Not Available",0)</f>
        <v>USD</v>
      </c>
      <c r="M25">
        <f>IF(tblMovies[[#This Row],[unit]]="Billions",tblMovies[[#This Row],[budget]]*1000,tblMovies[[#This Row],[budget]])</f>
        <v>400</v>
      </c>
      <c r="N25">
        <f>IF(tblMovies[[#This Row],[unit]]="Billions",tblMovies[[#This Row],[revenue]]*1000,tblMovies[[#This Row],[revenue]])</f>
        <v>2798</v>
      </c>
      <c r="O25">
        <f>IF(tblMovies[[#This Row],[currency]]="USD",tblMovies[[#This Row],[budget (mln)]]*80,tblMovies[[#This Row],[budget (mln)]])</f>
        <v>32000</v>
      </c>
      <c r="P25">
        <f>IF(tblMovies[[#This Row],[currency]]="USD",tblMovies[[#This Row],[revenue (mln)]]*80,tblMovies[[#This Row],[revenue (mln)]])</f>
        <v>223840</v>
      </c>
      <c r="Q25">
        <f>IF(tblMovies[[#This Row],[currency]]="INR",tblMovies[[#This Row],[budget (mln)]]/80,tblMovies[[#This Row],[budget (mln)]])</f>
        <v>400</v>
      </c>
      <c r="R25">
        <f>IF(tblMovies[[#This Row],[currency]]="INR",tblMovies[[#This Row],[revenue (mln)]]/80,tblMovies[[#This Row],[revenue (mln)]])</f>
        <v>2798</v>
      </c>
    </row>
    <row r="26" spans="1:18">
      <c r="A26">
        <v>126</v>
      </c>
      <c r="B26" t="s">
        <v>59</v>
      </c>
      <c r="C26" t="s">
        <v>22</v>
      </c>
      <c r="D26">
        <v>2018</v>
      </c>
      <c r="E26">
        <v>8.4</v>
      </c>
      <c r="F26" t="s">
        <v>23</v>
      </c>
      <c r="G26">
        <v>5</v>
      </c>
      <c r="H26" t="str">
        <f>_xlfn.XLOOKUP(tblMovies[[#This Row],[language_id]],tblLanguages[language_id],tblLanguages[name],"Unknown")</f>
        <v>English</v>
      </c>
      <c r="I26" cm="1">
        <f t="array" ref="I26">_xlfn.XLOOKUP(tblMovies[[#This Row],[movie_id]:[movie_id]],tblFinancials[[#All],[movie_id]:[movie_id]],tblFinancials[[#All],[budget]],"Not Available",0)</f>
        <v>400</v>
      </c>
      <c r="J26" cm="1">
        <f t="array" ref="J26">_xlfn.XLOOKUP(tblMovies[[#This Row],[movie_id]:[movie_id]],tblFinancials[[#All],[movie_id]:[movie_id]],tblFinancials[[#All],[revenue]],"Not Available",0)</f>
        <v>2048</v>
      </c>
      <c r="K26" t="str" cm="1">
        <f t="array" ref="K26">_xlfn.XLOOKUP(tblMovies[[#This Row],[movie_id]:[movie_id]],tblFinancials[[#All],[movie_id]:[movie_id]],tblFinancials[[#All],[unit]],"Not Available",0)</f>
        <v>Millions</v>
      </c>
      <c r="L26" t="str" cm="1">
        <f t="array" ref="L26">_xlfn.XLOOKUP(tblMovies[[#This Row],[movie_id]:[movie_id]],tblFinancials[[#All],[movie_id]:[movie_id]],tblFinancials[[#All],[currency]],"Not Available",0)</f>
        <v>USD</v>
      </c>
      <c r="M26">
        <f>IF(tblMovies[[#This Row],[unit]]="Billions",tblMovies[[#This Row],[budget]]*1000,tblMovies[[#This Row],[budget]])</f>
        <v>400</v>
      </c>
      <c r="N26">
        <f>IF(tblMovies[[#This Row],[unit]]="Billions",tblMovies[[#This Row],[revenue]]*1000,tblMovies[[#This Row],[revenue]])</f>
        <v>2048</v>
      </c>
      <c r="O26">
        <f>IF(tblMovies[[#This Row],[currency]]="USD",tblMovies[[#This Row],[budget (mln)]]*80,tblMovies[[#This Row],[budget (mln)]])</f>
        <v>32000</v>
      </c>
      <c r="P26">
        <f>IF(tblMovies[[#This Row],[currency]]="USD",tblMovies[[#This Row],[revenue (mln)]]*80,tblMovies[[#This Row],[revenue (mln)]])</f>
        <v>163840</v>
      </c>
      <c r="Q26">
        <f>IF(tblMovies[[#This Row],[currency]]="INR",tblMovies[[#This Row],[budget (mln)]]/80,tblMovies[[#This Row],[budget (mln)]])</f>
        <v>400</v>
      </c>
      <c r="R26">
        <f>IF(tblMovies[[#This Row],[currency]]="INR",tblMovies[[#This Row],[revenue (mln)]]/80,tblMovies[[#This Row],[revenue (mln)]])</f>
        <v>2048</v>
      </c>
    </row>
    <row r="27" spans="1:18">
      <c r="A27">
        <v>127</v>
      </c>
      <c r="B27" t="s">
        <v>60</v>
      </c>
      <c r="C27" t="s">
        <v>19</v>
      </c>
      <c r="D27">
        <v>1955</v>
      </c>
      <c r="E27">
        <v>8.3000000000000007</v>
      </c>
      <c r="F27" t="s">
        <v>61</v>
      </c>
      <c r="G27">
        <v>7</v>
      </c>
      <c r="H27" t="str">
        <f>_xlfn.XLOOKUP(tblMovies[[#This Row],[language_id]],tblLanguages[language_id],tblLanguages[name],"Unknown")</f>
        <v>Bengali</v>
      </c>
      <c r="I27" cm="1">
        <f t="array" ref="I27">_xlfn.XLOOKUP(tblMovies[[#This Row],[movie_id]:[movie_id]],tblFinancials[[#All],[movie_id]:[movie_id]],tblFinancials[[#All],[budget]],"Not Available",0)</f>
        <v>70</v>
      </c>
      <c r="J27" cm="1">
        <f t="array" ref="J27">_xlfn.XLOOKUP(tblMovies[[#This Row],[movie_id]:[movie_id]],tblFinancials[[#All],[movie_id]:[movie_id]],tblFinancials[[#All],[revenue]],"Not Available",0)</f>
        <v>100</v>
      </c>
      <c r="K27" t="str" cm="1">
        <f t="array" ref="K27">_xlfn.XLOOKUP(tblMovies[[#This Row],[movie_id]:[movie_id]],tblFinancials[[#All],[movie_id]:[movie_id]],tblFinancials[[#All],[unit]],"Not Available",0)</f>
        <v>Millions</v>
      </c>
      <c r="L27" t="str" cm="1">
        <f t="array" ref="L27">_xlfn.XLOOKUP(tblMovies[[#This Row],[movie_id]:[movie_id]],tblFinancials[[#All],[movie_id]:[movie_id]],tblFinancials[[#All],[currency]],"Not Available",0)</f>
        <v>INR</v>
      </c>
      <c r="M27">
        <f>IF(tblMovies[[#This Row],[unit]]="Billions",tblMovies[[#This Row],[budget]]*1000,tblMovies[[#This Row],[budget]])</f>
        <v>70</v>
      </c>
      <c r="N27">
        <f>IF(tblMovies[[#This Row],[unit]]="Billions",tblMovies[[#This Row],[revenue]]*1000,tblMovies[[#This Row],[revenue]])</f>
        <v>100</v>
      </c>
      <c r="O27">
        <f>IF(tblMovies[[#This Row],[currency]]="USD",tblMovies[[#This Row],[budget (mln)]]*80,tblMovies[[#This Row],[budget (mln)]])</f>
        <v>70</v>
      </c>
      <c r="P27">
        <f>IF(tblMovies[[#This Row],[currency]]="USD",tblMovies[[#This Row],[revenue (mln)]]*80,tblMovies[[#This Row],[revenue (mln)]])</f>
        <v>100</v>
      </c>
      <c r="Q27">
        <f>IF(tblMovies[[#This Row],[currency]]="INR",tblMovies[[#This Row],[budget (mln)]]/80,tblMovies[[#This Row],[budget (mln)]])</f>
        <v>0.875</v>
      </c>
      <c r="R27">
        <f>IF(tblMovies[[#This Row],[currency]]="INR",tblMovies[[#This Row],[revenue (mln)]]/80,tblMovies[[#This Row],[revenue (mln)]])</f>
        <v>1.25</v>
      </c>
    </row>
    <row r="28" spans="1:18">
      <c r="A28">
        <v>128</v>
      </c>
      <c r="B28" t="s">
        <v>62</v>
      </c>
      <c r="C28" t="s">
        <v>19</v>
      </c>
      <c r="D28">
        <v>2007</v>
      </c>
      <c r="E28">
        <v>8.3000000000000007</v>
      </c>
      <c r="F28" t="s">
        <v>36</v>
      </c>
      <c r="G28">
        <v>1</v>
      </c>
      <c r="H28" t="str">
        <f>_xlfn.XLOOKUP(tblMovies[[#This Row],[language_id]],tblLanguages[language_id],tblLanguages[name],"Unknown")</f>
        <v>Hindi</v>
      </c>
      <c r="I28" cm="1">
        <f t="array" ref="I28">_xlfn.XLOOKUP(tblMovies[[#This Row],[movie_id]:[movie_id]],tblFinancials[[#All],[movie_id]:[movie_id]],tblFinancials[[#All],[budget]],"Not Available",0)</f>
        <v>120</v>
      </c>
      <c r="J28" cm="1">
        <f t="array" ref="J28">_xlfn.XLOOKUP(tblMovies[[#This Row],[movie_id]:[movie_id]],tblFinancials[[#All],[movie_id]:[movie_id]],tblFinancials[[#All],[revenue]],"Not Available",0)</f>
        <v>1350</v>
      </c>
      <c r="K28" t="str" cm="1">
        <f t="array" ref="K28">_xlfn.XLOOKUP(tblMovies[[#This Row],[movie_id]:[movie_id]],tblFinancials[[#All],[movie_id]:[movie_id]],tblFinancials[[#All],[unit]],"Not Available",0)</f>
        <v>Millions</v>
      </c>
      <c r="L28" t="str" cm="1">
        <f t="array" ref="L28">_xlfn.XLOOKUP(tblMovies[[#This Row],[movie_id]:[movie_id]],tblFinancials[[#All],[movie_id]:[movie_id]],tblFinancials[[#All],[currency]],"Not Available",0)</f>
        <v>INR</v>
      </c>
      <c r="M28">
        <f>IF(tblMovies[[#This Row],[unit]]="Billions",tblMovies[[#This Row],[budget]]*1000,tblMovies[[#This Row],[budget]])</f>
        <v>120</v>
      </c>
      <c r="N28">
        <f>IF(tblMovies[[#This Row],[unit]]="Billions",tblMovies[[#This Row],[revenue]]*1000,tblMovies[[#This Row],[revenue]])</f>
        <v>1350</v>
      </c>
      <c r="O28">
        <f>IF(tblMovies[[#This Row],[currency]]="USD",tblMovies[[#This Row],[budget (mln)]]*80,tblMovies[[#This Row],[budget (mln)]])</f>
        <v>120</v>
      </c>
      <c r="P28">
        <f>IF(tblMovies[[#This Row],[currency]]="USD",tblMovies[[#This Row],[revenue (mln)]]*80,tblMovies[[#This Row],[revenue (mln)]])</f>
        <v>1350</v>
      </c>
      <c r="Q28">
        <f>IF(tblMovies[[#This Row],[currency]]="INR",tblMovies[[#This Row],[budget (mln)]]/80,tblMovies[[#This Row],[budget (mln)]])</f>
        <v>1.5</v>
      </c>
      <c r="R28">
        <f>IF(tblMovies[[#This Row],[currency]]="INR",tblMovies[[#This Row],[revenue (mln)]]/80,tblMovies[[#This Row],[revenue (mln)]])</f>
        <v>16.875</v>
      </c>
    </row>
    <row r="29" spans="1:18">
      <c r="A29">
        <v>129</v>
      </c>
      <c r="B29" t="s">
        <v>63</v>
      </c>
      <c r="C29" t="s">
        <v>19</v>
      </c>
      <c r="D29">
        <v>2003</v>
      </c>
      <c r="E29">
        <v>8.1</v>
      </c>
      <c r="F29" t="s">
        <v>64</v>
      </c>
      <c r="G29">
        <v>1</v>
      </c>
      <c r="H29" t="str">
        <f>_xlfn.XLOOKUP(tblMovies[[#This Row],[language_id]],tblLanguages[language_id],tblLanguages[name],"Unknown")</f>
        <v>Hindi</v>
      </c>
      <c r="I29" cm="1">
        <f t="array" ref="I29">_xlfn.XLOOKUP(tblMovies[[#This Row],[movie_id]:[movie_id]],tblFinancials[[#All],[movie_id]:[movie_id]],tblFinancials[[#All],[budget]],"Not Available",0)</f>
        <v>100</v>
      </c>
      <c r="J29" cm="1">
        <f t="array" ref="J29">_xlfn.XLOOKUP(tblMovies[[#This Row],[movie_id]:[movie_id]],tblFinancials[[#All],[movie_id]:[movie_id]],tblFinancials[[#All],[revenue]],"Not Available",0)</f>
        <v>410</v>
      </c>
      <c r="K29" t="str" cm="1">
        <f t="array" ref="K29">_xlfn.XLOOKUP(tblMovies[[#This Row],[movie_id]:[movie_id]],tblFinancials[[#All],[movie_id]:[movie_id]],tblFinancials[[#All],[unit]],"Not Available",0)</f>
        <v>Millions</v>
      </c>
      <c r="L29" t="str" cm="1">
        <f t="array" ref="L29">_xlfn.XLOOKUP(tblMovies[[#This Row],[movie_id]:[movie_id]],tblFinancials[[#All],[movie_id]:[movie_id]],tblFinancials[[#All],[currency]],"Not Available",0)</f>
        <v>INR</v>
      </c>
      <c r="M29">
        <f>IF(tblMovies[[#This Row],[unit]]="Billions",tblMovies[[#This Row],[budget]]*1000,tblMovies[[#This Row],[budget]])</f>
        <v>100</v>
      </c>
      <c r="N29">
        <f>IF(tblMovies[[#This Row],[unit]]="Billions",tblMovies[[#This Row],[revenue]]*1000,tblMovies[[#This Row],[revenue]])</f>
        <v>410</v>
      </c>
      <c r="O29">
        <f>IF(tblMovies[[#This Row],[currency]]="USD",tblMovies[[#This Row],[budget (mln)]]*80,tblMovies[[#This Row],[budget (mln)]])</f>
        <v>100</v>
      </c>
      <c r="P29">
        <f>IF(tblMovies[[#This Row],[currency]]="USD",tblMovies[[#This Row],[revenue (mln)]]*80,tblMovies[[#This Row],[revenue (mln)]])</f>
        <v>410</v>
      </c>
      <c r="Q29">
        <f>IF(tblMovies[[#This Row],[currency]]="INR",tblMovies[[#This Row],[budget (mln)]]/80,tblMovies[[#This Row],[budget (mln)]])</f>
        <v>1.25</v>
      </c>
      <c r="R29">
        <f>IF(tblMovies[[#This Row],[currency]]="INR",tblMovies[[#This Row],[revenue (mln)]]/80,tblMovies[[#This Row],[revenue (mln)]])</f>
        <v>5.125</v>
      </c>
    </row>
    <row r="30" spans="1:18">
      <c r="A30">
        <v>130</v>
      </c>
      <c r="B30" t="s">
        <v>65</v>
      </c>
      <c r="C30" t="s">
        <v>19</v>
      </c>
      <c r="D30">
        <v>2014</v>
      </c>
      <c r="E30">
        <v>8.1</v>
      </c>
      <c r="F30" t="s">
        <v>32</v>
      </c>
      <c r="G30">
        <v>1</v>
      </c>
      <c r="H30" t="str">
        <f>_xlfn.XLOOKUP(tblMovies[[#This Row],[language_id]],tblLanguages[language_id],tblLanguages[name],"Unknown")</f>
        <v>Hindi</v>
      </c>
      <c r="I30" cm="1">
        <f t="array" ref="I30">_xlfn.XLOOKUP(tblMovies[[#This Row],[movie_id]:[movie_id]],tblFinancials[[#All],[movie_id]:[movie_id]],tblFinancials[[#All],[budget]],"Not Available",0)</f>
        <v>850</v>
      </c>
      <c r="J30" cm="1">
        <f t="array" ref="J30">_xlfn.XLOOKUP(tblMovies[[#This Row],[movie_id]:[movie_id]],tblFinancials[[#All],[movie_id]:[movie_id]],tblFinancials[[#All],[revenue]],"Not Available",0)</f>
        <v>8540</v>
      </c>
      <c r="K30" t="str" cm="1">
        <f t="array" ref="K30">_xlfn.XLOOKUP(tblMovies[[#This Row],[movie_id]:[movie_id]],tblFinancials[[#All],[movie_id]:[movie_id]],tblFinancials[[#All],[unit]],"Not Available",0)</f>
        <v>Millions</v>
      </c>
      <c r="L30" t="str" cm="1">
        <f t="array" ref="L30">_xlfn.XLOOKUP(tblMovies[[#This Row],[movie_id]:[movie_id]],tblFinancials[[#All],[movie_id]:[movie_id]],tblFinancials[[#All],[currency]],"Not Available",0)</f>
        <v>INR</v>
      </c>
      <c r="M30">
        <f>IF(tblMovies[[#This Row],[unit]]="Billions",tblMovies[[#This Row],[budget]]*1000,tblMovies[[#This Row],[budget]])</f>
        <v>850</v>
      </c>
      <c r="N30">
        <f>IF(tblMovies[[#This Row],[unit]]="Billions",tblMovies[[#This Row],[revenue]]*1000,tblMovies[[#This Row],[revenue]])</f>
        <v>8540</v>
      </c>
      <c r="O30">
        <f>IF(tblMovies[[#This Row],[currency]]="USD",tblMovies[[#This Row],[budget (mln)]]*80,tblMovies[[#This Row],[budget (mln)]])</f>
        <v>850</v>
      </c>
      <c r="P30">
        <f>IF(tblMovies[[#This Row],[currency]]="USD",tblMovies[[#This Row],[revenue (mln)]]*80,tblMovies[[#This Row],[revenue (mln)]])</f>
        <v>8540</v>
      </c>
      <c r="Q30">
        <f>IF(tblMovies[[#This Row],[currency]]="INR",tblMovies[[#This Row],[budget (mln)]]/80,tblMovies[[#This Row],[budget (mln)]])</f>
        <v>10.625</v>
      </c>
      <c r="R30">
        <f>IF(tblMovies[[#This Row],[currency]]="INR",tblMovies[[#This Row],[revenue (mln)]]/80,tblMovies[[#This Row],[revenue (mln)]])</f>
        <v>106.75</v>
      </c>
    </row>
    <row r="31" spans="1:18">
      <c r="A31">
        <v>131</v>
      </c>
      <c r="B31" t="s">
        <v>66</v>
      </c>
      <c r="C31" t="s">
        <v>19</v>
      </c>
      <c r="D31">
        <v>2018</v>
      </c>
      <c r="E31" t="s">
        <v>67</v>
      </c>
      <c r="F31" t="s">
        <v>32</v>
      </c>
      <c r="G31">
        <v>1</v>
      </c>
      <c r="H31" t="str">
        <f>_xlfn.XLOOKUP(tblMovies[[#This Row],[language_id]],tblLanguages[language_id],tblLanguages[name],"Unknown")</f>
        <v>Hindi</v>
      </c>
      <c r="I31" cm="1">
        <f t="array" ref="I31">_xlfn.XLOOKUP(tblMovies[[#This Row],[movie_id]:[movie_id]],tblFinancials[[#All],[movie_id]:[movie_id]],tblFinancials[[#All],[budget]],"Not Available",0)</f>
        <v>1</v>
      </c>
      <c r="J31" cm="1">
        <f t="array" ref="J31">_xlfn.XLOOKUP(tblMovies[[#This Row],[movie_id]:[movie_id]],tblFinancials[[#All],[movie_id]:[movie_id]],tblFinancials[[#All],[revenue]],"Not Available",0)</f>
        <v>5.9</v>
      </c>
      <c r="K31" t="str" cm="1">
        <f t="array" ref="K31">_xlfn.XLOOKUP(tblMovies[[#This Row],[movie_id]:[movie_id]],tblFinancials[[#All],[movie_id]:[movie_id]],tblFinancials[[#All],[unit]],"Not Available",0)</f>
        <v>Billions</v>
      </c>
      <c r="L31" t="str" cm="1">
        <f t="array" ref="L31">_xlfn.XLOOKUP(tblMovies[[#This Row],[movie_id]:[movie_id]],tblFinancials[[#All],[movie_id]:[movie_id]],tblFinancials[[#All],[currency]],"Not Available",0)</f>
        <v>INR</v>
      </c>
      <c r="M31">
        <f>IF(tblMovies[[#This Row],[unit]]="Billions",tblMovies[[#This Row],[budget]]*1000,tblMovies[[#This Row],[budget]])</f>
        <v>1000</v>
      </c>
      <c r="N31">
        <f>IF(tblMovies[[#This Row],[unit]]="Billions",tblMovies[[#This Row],[revenue]]*1000,tblMovies[[#This Row],[revenue]])</f>
        <v>5900</v>
      </c>
      <c r="O31">
        <f>IF(tblMovies[[#This Row],[currency]]="USD",tblMovies[[#This Row],[budget (mln)]]*80,tblMovies[[#This Row],[budget (mln)]])</f>
        <v>1000</v>
      </c>
      <c r="P31">
        <f>IF(tblMovies[[#This Row],[currency]]="USD",tblMovies[[#This Row],[revenue (mln)]]*80,tblMovies[[#This Row],[revenue (mln)]])</f>
        <v>5900</v>
      </c>
      <c r="Q31">
        <f>IF(tblMovies[[#This Row],[currency]]="INR",tblMovies[[#This Row],[budget (mln)]]/80,tblMovies[[#This Row],[budget (mln)]])</f>
        <v>12.5</v>
      </c>
      <c r="R31">
        <f>IF(tblMovies[[#This Row],[currency]]="INR",tblMovies[[#This Row],[revenue (mln)]]/80,tblMovies[[#This Row],[revenue (mln)]])</f>
        <v>73.75</v>
      </c>
    </row>
    <row r="32" spans="1:18">
      <c r="A32">
        <v>132</v>
      </c>
      <c r="B32" t="s">
        <v>68</v>
      </c>
      <c r="C32" t="s">
        <v>19</v>
      </c>
      <c r="D32">
        <v>2021</v>
      </c>
      <c r="E32">
        <v>7.6</v>
      </c>
      <c r="F32" t="s">
        <v>69</v>
      </c>
      <c r="G32">
        <v>2</v>
      </c>
      <c r="H32" t="str">
        <f>_xlfn.XLOOKUP(tblMovies[[#This Row],[language_id]],tblLanguages[language_id],tblLanguages[name],"Unknown")</f>
        <v>Telugu</v>
      </c>
      <c r="I32" cm="1">
        <f t="array" ref="I32">_xlfn.XLOOKUP(tblMovies[[#This Row],[movie_id]:[movie_id]],tblFinancials[[#All],[movie_id]:[movie_id]],tblFinancials[[#All],[budget]],"Not Available",0)</f>
        <v>2</v>
      </c>
      <c r="J32" cm="1">
        <f t="array" ref="J32">_xlfn.XLOOKUP(tblMovies[[#This Row],[movie_id]:[movie_id]],tblFinancials[[#All],[movie_id]:[movie_id]],tblFinancials[[#All],[revenue]],"Not Available",0)</f>
        <v>3.6</v>
      </c>
      <c r="K32" t="str" cm="1">
        <f t="array" ref="K32">_xlfn.XLOOKUP(tblMovies[[#This Row],[movie_id]:[movie_id]],tblFinancials[[#All],[movie_id]:[movie_id]],tblFinancials[[#All],[unit]],"Not Available",0)</f>
        <v>Billions</v>
      </c>
      <c r="L32" t="str" cm="1">
        <f t="array" ref="L32">_xlfn.XLOOKUP(tblMovies[[#This Row],[movie_id]:[movie_id]],tblFinancials[[#All],[movie_id]:[movie_id]],tblFinancials[[#All],[currency]],"Not Available",0)</f>
        <v>INR</v>
      </c>
      <c r="M32">
        <f>IF(tblMovies[[#This Row],[unit]]="Billions",tblMovies[[#This Row],[budget]]*1000,tblMovies[[#This Row],[budget]])</f>
        <v>2000</v>
      </c>
      <c r="N32">
        <f>IF(tblMovies[[#This Row],[unit]]="Billions",tblMovies[[#This Row],[revenue]]*1000,tblMovies[[#This Row],[revenue]])</f>
        <v>3600</v>
      </c>
      <c r="O32">
        <f>IF(tblMovies[[#This Row],[currency]]="USD",tblMovies[[#This Row],[budget (mln)]]*80,tblMovies[[#This Row],[budget (mln)]])</f>
        <v>2000</v>
      </c>
      <c r="P32">
        <f>IF(tblMovies[[#This Row],[currency]]="USD",tblMovies[[#This Row],[revenue (mln)]]*80,tblMovies[[#This Row],[revenue (mln)]])</f>
        <v>3600</v>
      </c>
      <c r="Q32">
        <f>IF(tblMovies[[#This Row],[currency]]="INR",tblMovies[[#This Row],[budget (mln)]]/80,tblMovies[[#This Row],[budget (mln)]])</f>
        <v>25</v>
      </c>
      <c r="R32">
        <f>IF(tblMovies[[#This Row],[currency]]="INR",tblMovies[[#This Row],[revenue (mln)]]/80,tblMovies[[#This Row],[revenue (mln)]])</f>
        <v>45</v>
      </c>
    </row>
    <row r="33" spans="1:19">
      <c r="A33">
        <v>133</v>
      </c>
      <c r="B33" t="s">
        <v>70</v>
      </c>
      <c r="C33" t="s">
        <v>19</v>
      </c>
      <c r="D33">
        <v>2022</v>
      </c>
      <c r="E33">
        <v>8</v>
      </c>
      <c r="F33" t="s">
        <v>71</v>
      </c>
      <c r="G33">
        <v>2</v>
      </c>
      <c r="H33" t="str">
        <f>_xlfn.XLOOKUP(tblMovies[[#This Row],[language_id]],tblLanguages[language_id],tblLanguages[name],"Unknown")</f>
        <v>Telugu</v>
      </c>
      <c r="I33" cm="1">
        <f t="array" ref="I33">_xlfn.XLOOKUP(tblMovies[[#This Row],[movie_id]:[movie_id]],tblFinancials[[#All],[movie_id]:[movie_id]],tblFinancials[[#All],[budget]],"Not Available",0)</f>
        <v>5.5</v>
      </c>
      <c r="J33" cm="1">
        <f t="array" ref="J33">_xlfn.XLOOKUP(tblMovies[[#This Row],[movie_id]:[movie_id]],tblFinancials[[#All],[movie_id]:[movie_id]],tblFinancials[[#All],[revenue]],"Not Available",0)</f>
        <v>12</v>
      </c>
      <c r="K33" t="str" cm="1">
        <f t="array" ref="K33">_xlfn.XLOOKUP(tblMovies[[#This Row],[movie_id]:[movie_id]],tblFinancials[[#All],[movie_id]:[movie_id]],tblFinancials[[#All],[unit]],"Not Available",0)</f>
        <v>Billions</v>
      </c>
      <c r="L33" t="str" cm="1">
        <f t="array" ref="L33">_xlfn.XLOOKUP(tblMovies[[#This Row],[movie_id]:[movie_id]],tblFinancials[[#All],[movie_id]:[movie_id]],tblFinancials[[#All],[currency]],"Not Available",0)</f>
        <v>INR</v>
      </c>
      <c r="M33">
        <f>IF(tblMovies[[#This Row],[unit]]="Billions",tblMovies[[#This Row],[budget]]*1000,tblMovies[[#This Row],[budget]])</f>
        <v>5500</v>
      </c>
      <c r="N33">
        <f>IF(tblMovies[[#This Row],[unit]]="Billions",tblMovies[[#This Row],[revenue]]*1000,tblMovies[[#This Row],[revenue]])</f>
        <v>12000</v>
      </c>
      <c r="O33">
        <f>IF(tblMovies[[#This Row],[currency]]="USD",tblMovies[[#This Row],[budget (mln)]]*80,tblMovies[[#This Row],[budget (mln)]])</f>
        <v>5500</v>
      </c>
      <c r="P33">
        <f>IF(tblMovies[[#This Row],[currency]]="USD",tblMovies[[#This Row],[revenue (mln)]]*80,tblMovies[[#This Row],[revenue (mln)]])</f>
        <v>12000</v>
      </c>
      <c r="Q33">
        <f>IF(tblMovies[[#This Row],[currency]]="INR",tblMovies[[#This Row],[budget (mln)]]/80,tblMovies[[#This Row],[budget (mln)]])</f>
        <v>68.75</v>
      </c>
      <c r="R33">
        <f>IF(tblMovies[[#This Row],[currency]]="INR",tblMovies[[#This Row],[revenue (mln)]]/80,tblMovies[[#This Row],[revenue (mln)]])</f>
        <v>150</v>
      </c>
    </row>
    <row r="34" spans="1:19">
      <c r="A34">
        <v>134</v>
      </c>
      <c r="B34" t="s">
        <v>72</v>
      </c>
      <c r="C34" t="s">
        <v>19</v>
      </c>
      <c r="D34">
        <v>2015</v>
      </c>
      <c r="E34">
        <v>8</v>
      </c>
      <c r="F34" t="s">
        <v>73</v>
      </c>
      <c r="G34">
        <v>2</v>
      </c>
      <c r="H34" t="str">
        <f>_xlfn.XLOOKUP(tblMovies[[#This Row],[language_id]],tblLanguages[language_id],tblLanguages[name],"Unknown")</f>
        <v>Telugu</v>
      </c>
      <c r="I34" cm="1">
        <f t="array" ref="I34">_xlfn.XLOOKUP(tblMovies[[#This Row],[movie_id]:[movie_id]],tblFinancials[[#All],[movie_id]:[movie_id]],tblFinancials[[#All],[budget]],"Not Available",0)</f>
        <v>1.8</v>
      </c>
      <c r="J34" cm="1">
        <f t="array" ref="J34">_xlfn.XLOOKUP(tblMovies[[#This Row],[movie_id]:[movie_id]],tblFinancials[[#All],[movie_id]:[movie_id]],tblFinancials[[#All],[revenue]],"Not Available",0)</f>
        <v>6.5</v>
      </c>
      <c r="K34" t="str" cm="1">
        <f t="array" ref="K34">_xlfn.XLOOKUP(tblMovies[[#This Row],[movie_id]:[movie_id]],tblFinancials[[#All],[movie_id]:[movie_id]],tblFinancials[[#All],[unit]],"Not Available",0)</f>
        <v>Billions</v>
      </c>
      <c r="L34" t="str" cm="1">
        <f t="array" ref="L34">_xlfn.XLOOKUP(tblMovies[[#This Row],[movie_id]:[movie_id]],tblFinancials[[#All],[movie_id]:[movie_id]],tblFinancials[[#All],[currency]],"Not Available",0)</f>
        <v>INR</v>
      </c>
      <c r="M34">
        <f>IF(tblMovies[[#This Row],[unit]]="Billions",tblMovies[[#This Row],[budget]]*1000,tblMovies[[#This Row],[budget]])</f>
        <v>1800</v>
      </c>
      <c r="N34">
        <f>IF(tblMovies[[#This Row],[unit]]="Billions",tblMovies[[#This Row],[revenue]]*1000,tblMovies[[#This Row],[revenue]])</f>
        <v>6500</v>
      </c>
      <c r="O34">
        <f>IF(tblMovies[[#This Row],[currency]]="USD",tblMovies[[#This Row],[budget (mln)]]*80,tblMovies[[#This Row],[budget (mln)]])</f>
        <v>1800</v>
      </c>
      <c r="P34">
        <f>IF(tblMovies[[#This Row],[currency]]="USD",tblMovies[[#This Row],[revenue (mln)]]*80,tblMovies[[#This Row],[revenue (mln)]])</f>
        <v>6500</v>
      </c>
      <c r="Q34">
        <f>IF(tblMovies[[#This Row],[currency]]="INR",tblMovies[[#This Row],[budget (mln)]]/80,tblMovies[[#This Row],[budget (mln)]])</f>
        <v>22.5</v>
      </c>
      <c r="R34">
        <f>IF(tblMovies[[#This Row],[currency]]="INR",tblMovies[[#This Row],[revenue (mln)]]/80,tblMovies[[#This Row],[revenue (mln)]])</f>
        <v>81.25</v>
      </c>
    </row>
    <row r="35" spans="1:19">
      <c r="A35">
        <v>135</v>
      </c>
      <c r="B35" t="s">
        <v>74</v>
      </c>
      <c r="C35" t="s">
        <v>19</v>
      </c>
      <c r="D35">
        <v>2022</v>
      </c>
      <c r="E35">
        <v>8.3000000000000007</v>
      </c>
      <c r="F35" t="s">
        <v>75</v>
      </c>
      <c r="G35">
        <v>1</v>
      </c>
      <c r="H35" t="str">
        <f>_xlfn.XLOOKUP(tblMovies[[#This Row],[language_id]],tblLanguages[language_id],tblLanguages[name],"Unknown")</f>
        <v>Hindi</v>
      </c>
      <c r="I35" cm="1">
        <f t="array" ref="I35">_xlfn.XLOOKUP(tblMovies[[#This Row],[movie_id]:[movie_id]],tblFinancials[[#All],[movie_id]:[movie_id]],tblFinancials[[#All],[budget]],"Not Available",0)</f>
        <v>250</v>
      </c>
      <c r="J35" cm="1">
        <f t="array" ref="J35">_xlfn.XLOOKUP(tblMovies[[#This Row],[movie_id]:[movie_id]],tblFinancials[[#All],[movie_id]:[movie_id]],tblFinancials[[#All],[revenue]],"Not Available",0)</f>
        <v>3409</v>
      </c>
      <c r="K35" t="str" cm="1">
        <f t="array" ref="K35">_xlfn.XLOOKUP(tblMovies[[#This Row],[movie_id]:[movie_id]],tblFinancials[[#All],[movie_id]:[movie_id]],tblFinancials[[#All],[unit]],"Not Available",0)</f>
        <v>Millions</v>
      </c>
      <c r="L35" t="str" cm="1">
        <f t="array" ref="L35">_xlfn.XLOOKUP(tblMovies[[#This Row],[movie_id]:[movie_id]],tblFinancials[[#All],[movie_id]:[movie_id]],tblFinancials[[#All],[currency]],"Not Available",0)</f>
        <v>INR</v>
      </c>
      <c r="M35">
        <f>IF(tblMovies[[#This Row],[unit]]="Billions",tblMovies[[#This Row],[budget]]*1000,tblMovies[[#This Row],[budget]])</f>
        <v>250</v>
      </c>
      <c r="N35">
        <f>IF(tblMovies[[#This Row],[unit]]="Billions",tblMovies[[#This Row],[revenue]]*1000,tblMovies[[#This Row],[revenue]])</f>
        <v>3409</v>
      </c>
      <c r="O35">
        <f>IF(tblMovies[[#This Row],[currency]]="USD",tblMovies[[#This Row],[budget (mln)]]*80,tblMovies[[#This Row],[budget (mln)]])</f>
        <v>250</v>
      </c>
      <c r="P35">
        <f>IF(tblMovies[[#This Row],[currency]]="USD",tblMovies[[#This Row],[revenue (mln)]]*80,tblMovies[[#This Row],[revenue (mln)]])</f>
        <v>3409</v>
      </c>
      <c r="Q35">
        <f>IF(tblMovies[[#This Row],[currency]]="INR",tblMovies[[#This Row],[budget (mln)]]/80,tblMovies[[#This Row],[budget (mln)]])</f>
        <v>3.125</v>
      </c>
      <c r="R35">
        <f>IF(tblMovies[[#This Row],[currency]]="INR",tblMovies[[#This Row],[revenue (mln)]]/80,tblMovies[[#This Row],[revenue (mln)]])</f>
        <v>42.612499999999997</v>
      </c>
    </row>
    <row r="36" spans="1:19">
      <c r="A36">
        <v>136</v>
      </c>
      <c r="B36" t="s">
        <v>76</v>
      </c>
      <c r="C36" t="s">
        <v>19</v>
      </c>
      <c r="D36">
        <v>2015</v>
      </c>
      <c r="E36">
        <v>8.1</v>
      </c>
      <c r="F36" t="s">
        <v>77</v>
      </c>
      <c r="G36">
        <v>1</v>
      </c>
      <c r="H36" t="str">
        <f>_xlfn.XLOOKUP(tblMovies[[#This Row],[language_id]],tblLanguages[language_id],tblLanguages[name],"Unknown")</f>
        <v>Hindi</v>
      </c>
      <c r="I36" cm="1">
        <f t="array" ref="I36">_xlfn.XLOOKUP(tblMovies[[#This Row],[movie_id]:[movie_id]],tblFinancials[[#All],[movie_id]:[movie_id]],tblFinancials[[#All],[budget]],"Not Available",0)</f>
        <v>900</v>
      </c>
      <c r="J36" cm="1">
        <f t="array" ref="J36">_xlfn.XLOOKUP(tblMovies[[#This Row],[movie_id]:[movie_id]],tblFinancials[[#All],[movie_id]:[movie_id]],tblFinancials[[#All],[revenue]],"Not Available",0)</f>
        <v>11690</v>
      </c>
      <c r="K36" t="str" cm="1">
        <f t="array" ref="K36">_xlfn.XLOOKUP(tblMovies[[#This Row],[movie_id]:[movie_id]],tblFinancials[[#All],[movie_id]:[movie_id]],tblFinancials[[#All],[unit]],"Not Available",0)</f>
        <v>Millions</v>
      </c>
      <c r="L36" t="str" cm="1">
        <f t="array" ref="L36">_xlfn.XLOOKUP(tblMovies[[#This Row],[movie_id]:[movie_id]],tblFinancials[[#All],[movie_id]:[movie_id]],tblFinancials[[#All],[currency]],"Not Available",0)</f>
        <v>INR</v>
      </c>
      <c r="M36">
        <f>IF(tblMovies[[#This Row],[unit]]="Billions",tblMovies[[#This Row],[budget]]*1000,tblMovies[[#This Row],[budget]])</f>
        <v>900</v>
      </c>
      <c r="N36">
        <f>IF(tblMovies[[#This Row],[unit]]="Billions",tblMovies[[#This Row],[revenue]]*1000,tblMovies[[#This Row],[revenue]])</f>
        <v>11690</v>
      </c>
      <c r="O36">
        <f>IF(tblMovies[[#This Row],[currency]]="USD",tblMovies[[#This Row],[budget (mln)]]*80,tblMovies[[#This Row],[budget (mln)]])</f>
        <v>900</v>
      </c>
      <c r="P36">
        <f>IF(tblMovies[[#This Row],[currency]]="USD",tblMovies[[#This Row],[revenue (mln)]]*80,tblMovies[[#This Row],[revenue (mln)]])</f>
        <v>11690</v>
      </c>
      <c r="Q36">
        <f>IF(tblMovies[[#This Row],[currency]]="INR",tblMovies[[#This Row],[budget (mln)]]/80,tblMovies[[#This Row],[budget (mln)]])</f>
        <v>11.25</v>
      </c>
      <c r="R36">
        <f>IF(tblMovies[[#This Row],[currency]]="INR",tblMovies[[#This Row],[revenue (mln)]]/80,tblMovies[[#This Row],[revenue (mln)]])</f>
        <v>146.125</v>
      </c>
    </row>
    <row r="37" spans="1:19">
      <c r="A37">
        <v>137</v>
      </c>
      <c r="B37" t="s">
        <v>78</v>
      </c>
      <c r="C37" t="s">
        <v>22</v>
      </c>
      <c r="D37">
        <v>2011</v>
      </c>
      <c r="E37">
        <v>6.9</v>
      </c>
      <c r="F37" t="s">
        <v>23</v>
      </c>
      <c r="G37">
        <v>5</v>
      </c>
      <c r="H37" t="str">
        <f>_xlfn.XLOOKUP(tblMovies[[#This Row],[language_id]],tblLanguages[language_id],tblLanguages[name],"Unknown")</f>
        <v>English</v>
      </c>
      <c r="I37" cm="1">
        <f t="array" ref="I37">_xlfn.XLOOKUP(tblMovies[[#This Row],[movie_id]:[movie_id]],tblFinancials[[#All],[movie_id]:[movie_id]],tblFinancials[[#All],[budget]],"Not Available",0)</f>
        <v>216.7</v>
      </c>
      <c r="J37" cm="1">
        <f t="array" ref="J37">_xlfn.XLOOKUP(tblMovies[[#This Row],[movie_id]:[movie_id]],tblFinancials[[#All],[movie_id]:[movie_id]],tblFinancials[[#All],[revenue]],"Not Available",0)</f>
        <v>370.6</v>
      </c>
      <c r="K37" t="str" cm="1">
        <f t="array" ref="K37">_xlfn.XLOOKUP(tblMovies[[#This Row],[movie_id]:[movie_id]],tblFinancials[[#All],[movie_id]:[movie_id]],tblFinancials[[#All],[unit]],"Not Available",0)</f>
        <v>Millions</v>
      </c>
      <c r="L37" t="str" cm="1">
        <f t="array" ref="L37">_xlfn.XLOOKUP(tblMovies[[#This Row],[movie_id]:[movie_id]],tblFinancials[[#All],[movie_id]:[movie_id]],tblFinancials[[#All],[currency]],"Not Available",0)</f>
        <v>USD</v>
      </c>
      <c r="M37">
        <f>IF(tblMovies[[#This Row],[unit]]="Billions",tblMovies[[#This Row],[budget]]*1000,tblMovies[[#This Row],[budget]])</f>
        <v>216.7</v>
      </c>
      <c r="N37">
        <f>IF(tblMovies[[#This Row],[unit]]="Billions",tblMovies[[#This Row],[revenue]]*1000,tblMovies[[#This Row],[revenue]])</f>
        <v>370.6</v>
      </c>
      <c r="O37">
        <f>IF(tblMovies[[#This Row],[currency]]="USD",tblMovies[[#This Row],[budget (mln)]]*80,tblMovies[[#This Row],[budget (mln)]])</f>
        <v>17336</v>
      </c>
      <c r="P37">
        <f>IF(tblMovies[[#This Row],[currency]]="USD",tblMovies[[#This Row],[revenue (mln)]]*80,tblMovies[[#This Row],[revenue (mln)]])</f>
        <v>29648</v>
      </c>
      <c r="Q37">
        <f>IF(tblMovies[[#This Row],[currency]]="INR",tblMovies[[#This Row],[budget (mln)]]/80,tblMovies[[#This Row],[budget (mln)]])</f>
        <v>216.7</v>
      </c>
      <c r="R37">
        <f>IF(tblMovies[[#This Row],[currency]]="INR",tblMovies[[#This Row],[revenue (mln)]]/80,tblMovies[[#This Row],[revenue (mln)]])</f>
        <v>370.6</v>
      </c>
    </row>
    <row r="38" spans="1:19">
      <c r="A38">
        <v>138</v>
      </c>
      <c r="B38" t="s">
        <v>79</v>
      </c>
      <c r="C38" t="s">
        <v>22</v>
      </c>
      <c r="D38">
        <v>2014</v>
      </c>
      <c r="E38">
        <v>7.8</v>
      </c>
      <c r="F38" t="s">
        <v>23</v>
      </c>
      <c r="G38">
        <v>5</v>
      </c>
      <c r="H38" t="str">
        <f>_xlfn.XLOOKUP(tblMovies[[#This Row],[language_id]],tblLanguages[language_id],tblLanguages[name],"Unknown")</f>
        <v>English</v>
      </c>
      <c r="I38" cm="1">
        <f t="array" ref="I38">_xlfn.XLOOKUP(tblMovies[[#This Row],[movie_id]:[movie_id]],tblFinancials[[#All],[movie_id]:[movie_id]],tblFinancials[[#All],[budget]],"Not Available",0)</f>
        <v>177</v>
      </c>
      <c r="J38" cm="1">
        <f t="array" ref="J38">_xlfn.XLOOKUP(tblMovies[[#This Row],[movie_id]:[movie_id]],tblFinancials[[#All],[movie_id]:[movie_id]],tblFinancials[[#All],[revenue]],"Not Available",0)</f>
        <v>714.4</v>
      </c>
      <c r="K38" t="str" cm="1">
        <f t="array" ref="K38">_xlfn.XLOOKUP(tblMovies[[#This Row],[movie_id]:[movie_id]],tblFinancials[[#All],[movie_id]:[movie_id]],tblFinancials[[#All],[unit]],"Not Available",0)</f>
        <v>Millions</v>
      </c>
      <c r="L38" t="str" cm="1">
        <f t="array" ref="L38">_xlfn.XLOOKUP(tblMovies[[#This Row],[movie_id]:[movie_id]],tblFinancials[[#All],[movie_id]:[movie_id]],tblFinancials[[#All],[currency]],"Not Available",0)</f>
        <v>USD</v>
      </c>
      <c r="M38">
        <f>IF(tblMovies[[#This Row],[unit]]="Billions",tblMovies[[#This Row],[budget]]*1000,tblMovies[[#This Row],[budget]])</f>
        <v>177</v>
      </c>
      <c r="N38">
        <f>IF(tblMovies[[#This Row],[unit]]="Billions",tblMovies[[#This Row],[revenue]]*1000,tblMovies[[#This Row],[revenue]])</f>
        <v>714.4</v>
      </c>
      <c r="O38">
        <f>IF(tblMovies[[#This Row],[currency]]="USD",tblMovies[[#This Row],[budget (mln)]]*80,tblMovies[[#This Row],[budget (mln)]])</f>
        <v>14160</v>
      </c>
      <c r="P38">
        <f>IF(tblMovies[[#This Row],[currency]]="USD",tblMovies[[#This Row],[revenue (mln)]]*80,tblMovies[[#This Row],[revenue (mln)]])</f>
        <v>57152</v>
      </c>
      <c r="Q38">
        <f>IF(tblMovies[[#This Row],[currency]]="INR",tblMovies[[#This Row],[budget (mln)]]/80,tblMovies[[#This Row],[budget (mln)]])</f>
        <v>177</v>
      </c>
      <c r="R38">
        <f>IF(tblMovies[[#This Row],[currency]]="INR",tblMovies[[#This Row],[revenue (mln)]]/80,tblMovies[[#This Row],[revenue (mln)]])</f>
        <v>714.4</v>
      </c>
    </row>
    <row r="39" spans="1:19">
      <c r="A39">
        <v>139</v>
      </c>
      <c r="B39" t="s">
        <v>80</v>
      </c>
      <c r="C39" t="s">
        <v>19</v>
      </c>
      <c r="D39">
        <v>2018</v>
      </c>
      <c r="E39">
        <v>1.9</v>
      </c>
      <c r="F39" t="s">
        <v>77</v>
      </c>
      <c r="G39">
        <v>1</v>
      </c>
      <c r="H39" t="str">
        <f>_xlfn.XLOOKUP(tblMovies[[#This Row],[language_id]],tblLanguages[language_id],tblLanguages[name],"Unknown")</f>
        <v>Hindi</v>
      </c>
      <c r="I39" cm="1">
        <f t="array" ref="I39">_xlfn.XLOOKUP(tblMovies[[#This Row],[movie_id]:[movie_id]],tblFinancials[[#All],[movie_id]:[movie_id]],tblFinancials[[#All],[budget]],"Not Available",0)</f>
        <v>1.8</v>
      </c>
      <c r="J39" cm="1">
        <f t="array" ref="J39">_xlfn.XLOOKUP(tblMovies[[#This Row],[movie_id]:[movie_id]],tblFinancials[[#All],[movie_id]:[movie_id]],tblFinancials[[#All],[revenue]],"Not Available",0)</f>
        <v>3.1</v>
      </c>
      <c r="K39" t="str" cm="1">
        <f t="array" ref="K39">_xlfn.XLOOKUP(tblMovies[[#This Row],[movie_id]:[movie_id]],tblFinancials[[#All],[movie_id]:[movie_id]],tblFinancials[[#All],[unit]],"Not Available",0)</f>
        <v>Billions</v>
      </c>
      <c r="L39" t="str" cm="1">
        <f t="array" ref="L39">_xlfn.XLOOKUP(tblMovies[[#This Row],[movie_id]:[movie_id]],tblFinancials[[#All],[movie_id]:[movie_id]],tblFinancials[[#All],[currency]],"Not Available",0)</f>
        <v>INR</v>
      </c>
      <c r="M39">
        <f>IF(tblMovies[[#This Row],[unit]]="Billions",tblMovies[[#This Row],[budget]]*1000,tblMovies[[#This Row],[budget]])</f>
        <v>1800</v>
      </c>
      <c r="N39">
        <f>IF(tblMovies[[#This Row],[unit]]="Billions",tblMovies[[#This Row],[revenue]]*1000,tblMovies[[#This Row],[revenue]])</f>
        <v>3100</v>
      </c>
      <c r="O39">
        <f>IF(tblMovies[[#This Row],[currency]]="USD",tblMovies[[#This Row],[budget (mln)]]*80,tblMovies[[#This Row],[budget (mln)]])</f>
        <v>1800</v>
      </c>
      <c r="P39">
        <f>IF(tblMovies[[#This Row],[currency]]="USD",tblMovies[[#This Row],[revenue (mln)]]*80,tblMovies[[#This Row],[revenue (mln)]])</f>
        <v>3100</v>
      </c>
      <c r="Q39">
        <f>IF(tblMovies[[#This Row],[currency]]="INR",tblMovies[[#This Row],[budget (mln)]]/80,tblMovies[[#This Row],[budget (mln)]])</f>
        <v>22.5</v>
      </c>
      <c r="R39">
        <f>IF(tblMovies[[#This Row],[currency]]="INR",tblMovies[[#This Row],[revenue (mln)]]/80,tblMovies[[#This Row],[revenue (mln)]])</f>
        <v>38.75</v>
      </c>
    </row>
    <row r="40" spans="1:19">
      <c r="A40">
        <v>140</v>
      </c>
      <c r="B40" t="s">
        <v>81</v>
      </c>
      <c r="C40" t="s">
        <v>19</v>
      </c>
      <c r="D40">
        <v>2021</v>
      </c>
      <c r="E40">
        <v>8.4</v>
      </c>
      <c r="F40" t="s">
        <v>34</v>
      </c>
      <c r="G40">
        <v>1</v>
      </c>
      <c r="H40" t="str">
        <f>_xlfn.XLOOKUP(tblMovies[[#This Row],[language_id]],tblLanguages[language_id],tblLanguages[name],"Unknown")</f>
        <v>Hindi</v>
      </c>
      <c r="I40" cm="1">
        <f t="array" ref="I40">_xlfn.XLOOKUP(tblMovies[[#This Row],[movie_id]:[movie_id]],tblFinancials[[#All],[movie_id]:[movie_id]],tblFinancials[[#All],[budget]],"Not Available",0)</f>
        <v>500</v>
      </c>
      <c r="J40" cm="1">
        <f t="array" ref="J40">_xlfn.XLOOKUP(tblMovies[[#This Row],[movie_id]:[movie_id]],tblFinancials[[#All],[movie_id]:[movie_id]],tblFinancials[[#All],[revenue]],"Not Available",0)</f>
        <v>950</v>
      </c>
      <c r="K40" t="str" cm="1">
        <f t="array" ref="K40">_xlfn.XLOOKUP(tblMovies[[#This Row],[movie_id]:[movie_id]],tblFinancials[[#All],[movie_id]:[movie_id]],tblFinancials[[#All],[unit]],"Not Available",0)</f>
        <v>Millions</v>
      </c>
      <c r="L40" t="str" cm="1">
        <f t="array" ref="L40">_xlfn.XLOOKUP(tblMovies[[#This Row],[movie_id]:[movie_id]],tblFinancials[[#All],[movie_id]:[movie_id]],tblFinancials[[#All],[currency]],"Not Available",0)</f>
        <v>INR</v>
      </c>
      <c r="M40">
        <f>IF(tblMovies[[#This Row],[unit]]="Billions",tblMovies[[#This Row],[budget]]*1000,tblMovies[[#This Row],[budget]])</f>
        <v>500</v>
      </c>
      <c r="N40">
        <f>IF(tblMovies[[#This Row],[unit]]="Billions",tblMovies[[#This Row],[revenue]]*1000,tblMovies[[#This Row],[revenue]])</f>
        <v>950</v>
      </c>
      <c r="O40">
        <f>IF(tblMovies[[#This Row],[currency]]="USD",tblMovies[[#This Row],[budget (mln)]]*80,tblMovies[[#This Row],[budget (mln)]])</f>
        <v>500</v>
      </c>
      <c r="P40">
        <f>IF(tblMovies[[#This Row],[currency]]="USD",tblMovies[[#This Row],[revenue (mln)]]*80,tblMovies[[#This Row],[revenue (mln)]])</f>
        <v>950</v>
      </c>
      <c r="Q40">
        <f>IF(tblMovies[[#This Row],[currency]]="INR",tblMovies[[#This Row],[budget (mln)]]/80,tblMovies[[#This Row],[budget (mln)]])</f>
        <v>6.25</v>
      </c>
      <c r="R40">
        <f>IF(tblMovies[[#This Row],[currency]]="INR",tblMovies[[#This Row],[revenue (mln)]]/80,tblMovies[[#This Row],[revenue (mln)]])</f>
        <v>11.875</v>
      </c>
    </row>
    <row r="41" spans="1:19">
      <c r="H41" s="11"/>
      <c r="I41" s="11"/>
      <c r="K41" s="11"/>
      <c r="L41" s="11"/>
      <c r="M41" s="11"/>
      <c r="N41" s="11"/>
      <c r="O41" s="11"/>
      <c r="P41" s="11"/>
      <c r="Q41" s="11">
        <f>SUM(tblMovies[budget USD])</f>
        <v>3302.4549999999999</v>
      </c>
      <c r="R41" s="11"/>
    </row>
    <row r="43" spans="1:19">
      <c r="P43" s="7"/>
      <c r="Q43" s="3"/>
      <c r="R43" s="4"/>
      <c r="S43" s="4"/>
    </row>
    <row r="47" spans="1:19">
      <c r="L47" s="5"/>
    </row>
    <row r="48" spans="1:19">
      <c r="L48" s="6"/>
    </row>
  </sheetData>
  <conditionalFormatting sqref="A1:B1">
    <cfRule type="duplicateValues" dxfId="28" priority="5"/>
    <cfRule type="duplicateValues" dxfId="27" priority="6"/>
  </conditionalFormatting>
  <conditionalFormatting sqref="A2:B40">
    <cfRule type="duplicateValues" dxfId="26" priority="9"/>
    <cfRule type="duplicateValues" dxfId="25" priority="10"/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E2B2-174D-4BAE-B880-93FA8D22F3D3}">
  <dimension ref="A1:Q21"/>
  <sheetViews>
    <sheetView workbookViewId="0"/>
  </sheetViews>
  <sheetFormatPr defaultRowHeight="15"/>
  <cols>
    <col min="1" max="1" width="11.7109375" bestFit="1" customWidth="1"/>
    <col min="2" max="2" width="26.28515625" bestFit="1" customWidth="1"/>
    <col min="3" max="3" width="10.7109375" bestFit="1" customWidth="1"/>
    <col min="4" max="4" width="14.85546875" bestFit="1" customWidth="1"/>
    <col min="5" max="5" width="14.28515625" bestFit="1" customWidth="1"/>
    <col min="6" max="6" width="26.42578125" bestFit="1" customWidth="1"/>
    <col min="7" max="7" width="14.28515625" bestFit="1" customWidth="1"/>
    <col min="8" max="11" width="12.85546875" bestFit="1" customWidth="1"/>
    <col min="12" max="12" width="15" bestFit="1" customWidth="1"/>
    <col min="13" max="13" width="16.140625" bestFit="1" customWidth="1"/>
    <col min="14" max="14" width="13.42578125" bestFit="1" customWidth="1"/>
    <col min="15" max="15" width="14.42578125" bestFit="1" customWidth="1"/>
    <col min="16" max="16" width="14" bestFit="1" customWidth="1"/>
    <col min="17" max="17" width="15" bestFit="1" customWidth="1"/>
  </cols>
  <sheetData>
    <row r="1" spans="1:17">
      <c r="A1" s="10" t="s">
        <v>82</v>
      </c>
    </row>
    <row r="3" spans="1:1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>
      <c r="A4">
        <v>101</v>
      </c>
      <c r="B4" t="s">
        <v>18</v>
      </c>
      <c r="C4" t="s">
        <v>19</v>
      </c>
      <c r="D4">
        <v>2022</v>
      </c>
      <c r="E4">
        <v>8.4</v>
      </c>
      <c r="F4" t="s">
        <v>20</v>
      </c>
      <c r="G4">
        <v>3</v>
      </c>
      <c r="H4">
        <v>1</v>
      </c>
      <c r="I4">
        <v>12.5</v>
      </c>
      <c r="J4" t="s">
        <v>83</v>
      </c>
      <c r="K4" t="s">
        <v>84</v>
      </c>
      <c r="L4">
        <v>1000</v>
      </c>
      <c r="M4">
        <v>12500</v>
      </c>
      <c r="N4">
        <v>1000</v>
      </c>
      <c r="O4">
        <v>12500</v>
      </c>
      <c r="P4">
        <v>12.5</v>
      </c>
      <c r="Q4">
        <v>156.25</v>
      </c>
    </row>
    <row r="5" spans="1:17">
      <c r="A5">
        <v>140</v>
      </c>
      <c r="B5" t="s">
        <v>81</v>
      </c>
      <c r="C5" t="s">
        <v>19</v>
      </c>
      <c r="D5">
        <v>2021</v>
      </c>
      <c r="E5">
        <v>8.4</v>
      </c>
      <c r="F5" t="s">
        <v>34</v>
      </c>
      <c r="G5">
        <v>1</v>
      </c>
      <c r="H5">
        <v>500</v>
      </c>
      <c r="I5">
        <v>950</v>
      </c>
      <c r="J5" t="s">
        <v>85</v>
      </c>
      <c r="K5" t="s">
        <v>84</v>
      </c>
      <c r="L5">
        <v>500</v>
      </c>
      <c r="M5">
        <v>950</v>
      </c>
      <c r="N5">
        <v>500</v>
      </c>
      <c r="O5">
        <v>950</v>
      </c>
      <c r="P5">
        <v>6.25</v>
      </c>
      <c r="Q5">
        <v>11.875</v>
      </c>
    </row>
    <row r="6" spans="1:17">
      <c r="A6">
        <v>139</v>
      </c>
      <c r="B6" t="s">
        <v>80</v>
      </c>
      <c r="C6" t="s">
        <v>19</v>
      </c>
      <c r="D6">
        <v>2018</v>
      </c>
      <c r="E6">
        <v>1.9</v>
      </c>
      <c r="F6" t="s">
        <v>77</v>
      </c>
      <c r="G6">
        <v>1</v>
      </c>
      <c r="H6">
        <v>1.8</v>
      </c>
      <c r="I6">
        <v>3.1</v>
      </c>
      <c r="J6" t="s">
        <v>83</v>
      </c>
      <c r="K6" t="s">
        <v>84</v>
      </c>
      <c r="L6">
        <v>1800</v>
      </c>
      <c r="M6">
        <v>3100</v>
      </c>
      <c r="N6">
        <v>1800</v>
      </c>
      <c r="O6">
        <v>3100</v>
      </c>
      <c r="P6">
        <v>22.5</v>
      </c>
      <c r="Q6">
        <v>38.75</v>
      </c>
    </row>
    <row r="7" spans="1:17">
      <c r="A7">
        <v>136</v>
      </c>
      <c r="B7" t="s">
        <v>76</v>
      </c>
      <c r="C7" t="s">
        <v>19</v>
      </c>
      <c r="D7">
        <v>2015</v>
      </c>
      <c r="E7">
        <v>8.1</v>
      </c>
      <c r="F7" t="s">
        <v>77</v>
      </c>
      <c r="G7">
        <v>1</v>
      </c>
      <c r="H7">
        <v>900</v>
      </c>
      <c r="I7">
        <v>11690</v>
      </c>
      <c r="J7" t="s">
        <v>85</v>
      </c>
      <c r="K7" t="s">
        <v>84</v>
      </c>
      <c r="L7">
        <v>900</v>
      </c>
      <c r="M7">
        <v>11690</v>
      </c>
      <c r="N7">
        <v>900</v>
      </c>
      <c r="O7">
        <v>11690</v>
      </c>
      <c r="P7">
        <v>11.25</v>
      </c>
      <c r="Q7">
        <v>146.125</v>
      </c>
    </row>
    <row r="8" spans="1:17">
      <c r="A8">
        <v>135</v>
      </c>
      <c r="B8" t="s">
        <v>74</v>
      </c>
      <c r="C8" t="s">
        <v>19</v>
      </c>
      <c r="D8">
        <v>2022</v>
      </c>
      <c r="E8">
        <v>8.3000000000000007</v>
      </c>
      <c r="F8" t="s">
        <v>75</v>
      </c>
      <c r="G8">
        <v>1</v>
      </c>
      <c r="H8">
        <v>250</v>
      </c>
      <c r="I8">
        <v>3409</v>
      </c>
      <c r="J8" t="s">
        <v>85</v>
      </c>
      <c r="K8" t="s">
        <v>84</v>
      </c>
      <c r="L8">
        <v>250</v>
      </c>
      <c r="M8">
        <v>3409</v>
      </c>
      <c r="N8">
        <v>250</v>
      </c>
      <c r="O8">
        <v>3409</v>
      </c>
      <c r="P8">
        <v>3.125</v>
      </c>
      <c r="Q8">
        <v>42.612499999999997</v>
      </c>
    </row>
    <row r="9" spans="1:17">
      <c r="A9">
        <v>106</v>
      </c>
      <c r="B9" t="s">
        <v>27</v>
      </c>
      <c r="C9" t="s">
        <v>19</v>
      </c>
      <c r="D9">
        <v>1975</v>
      </c>
      <c r="E9">
        <v>8.1</v>
      </c>
      <c r="F9" t="s">
        <v>28</v>
      </c>
      <c r="G9">
        <v>1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</row>
    <row r="10" spans="1:17">
      <c r="A10">
        <v>107</v>
      </c>
      <c r="B10" t="s">
        <v>29</v>
      </c>
      <c r="C10" t="s">
        <v>19</v>
      </c>
      <c r="D10">
        <v>1995</v>
      </c>
      <c r="E10">
        <v>8</v>
      </c>
      <c r="F10" t="s">
        <v>30</v>
      </c>
      <c r="G10">
        <v>1</v>
      </c>
      <c r="H10">
        <v>400</v>
      </c>
      <c r="I10">
        <v>2000</v>
      </c>
      <c r="J10" t="s">
        <v>85</v>
      </c>
      <c r="K10" t="s">
        <v>84</v>
      </c>
      <c r="L10">
        <v>400</v>
      </c>
      <c r="M10">
        <v>2000</v>
      </c>
      <c r="N10">
        <v>400</v>
      </c>
      <c r="O10">
        <v>2000</v>
      </c>
      <c r="P10">
        <v>5</v>
      </c>
      <c r="Q10">
        <v>25</v>
      </c>
    </row>
    <row r="11" spans="1:17">
      <c r="A11">
        <v>108</v>
      </c>
      <c r="B11" t="s">
        <v>31</v>
      </c>
      <c r="C11" t="s">
        <v>19</v>
      </c>
      <c r="D11">
        <v>2009</v>
      </c>
      <c r="E11">
        <v>8.4</v>
      </c>
      <c r="F11" t="s">
        <v>32</v>
      </c>
      <c r="G11">
        <v>1</v>
      </c>
      <c r="H11">
        <v>550</v>
      </c>
      <c r="I11">
        <v>4000</v>
      </c>
      <c r="J11" t="s">
        <v>85</v>
      </c>
      <c r="K11" t="s">
        <v>84</v>
      </c>
      <c r="L11">
        <v>550</v>
      </c>
      <c r="M11">
        <v>4000</v>
      </c>
      <c r="N11">
        <v>550</v>
      </c>
      <c r="O11">
        <v>4000</v>
      </c>
      <c r="P11">
        <v>6.875</v>
      </c>
      <c r="Q11">
        <v>50</v>
      </c>
    </row>
    <row r="12" spans="1:17">
      <c r="A12">
        <v>109</v>
      </c>
      <c r="B12" t="s">
        <v>33</v>
      </c>
      <c r="C12" t="s">
        <v>19</v>
      </c>
      <c r="D12">
        <v>2001</v>
      </c>
      <c r="E12">
        <v>7.4</v>
      </c>
      <c r="F12" t="s">
        <v>34</v>
      </c>
      <c r="G12">
        <v>1</v>
      </c>
      <c r="H12">
        <v>390</v>
      </c>
      <c r="I12">
        <v>1360</v>
      </c>
      <c r="J12" t="s">
        <v>85</v>
      </c>
      <c r="K12" t="s">
        <v>84</v>
      </c>
      <c r="L12">
        <v>390</v>
      </c>
      <c r="M12">
        <v>1360</v>
      </c>
      <c r="N12">
        <v>390</v>
      </c>
      <c r="O12">
        <v>1360</v>
      </c>
      <c r="P12">
        <v>4.875</v>
      </c>
      <c r="Q12">
        <v>17</v>
      </c>
    </row>
    <row r="13" spans="1:17">
      <c r="A13">
        <v>110</v>
      </c>
      <c r="B13" t="s">
        <v>35</v>
      </c>
      <c r="C13" t="s">
        <v>19</v>
      </c>
      <c r="D13">
        <v>2015</v>
      </c>
      <c r="E13">
        <v>7.2</v>
      </c>
      <c r="F13" t="s">
        <v>36</v>
      </c>
      <c r="G13">
        <v>1</v>
      </c>
      <c r="H13">
        <v>1.4</v>
      </c>
      <c r="I13">
        <v>3.5</v>
      </c>
      <c r="J13" t="s">
        <v>83</v>
      </c>
      <c r="K13" t="s">
        <v>84</v>
      </c>
      <c r="L13">
        <v>1400</v>
      </c>
      <c r="M13">
        <v>3500</v>
      </c>
      <c r="N13">
        <v>1400</v>
      </c>
      <c r="O13">
        <v>3500</v>
      </c>
      <c r="P13">
        <v>17.5</v>
      </c>
      <c r="Q13">
        <v>43.75</v>
      </c>
    </row>
    <row r="14" spans="1:17">
      <c r="A14">
        <v>134</v>
      </c>
      <c r="B14" t="s">
        <v>72</v>
      </c>
      <c r="C14" t="s">
        <v>19</v>
      </c>
      <c r="D14">
        <v>2015</v>
      </c>
      <c r="E14">
        <v>8</v>
      </c>
      <c r="F14" t="s">
        <v>73</v>
      </c>
      <c r="G14">
        <v>2</v>
      </c>
      <c r="H14">
        <v>1.8</v>
      </c>
      <c r="I14">
        <v>6.5</v>
      </c>
      <c r="J14" t="s">
        <v>83</v>
      </c>
      <c r="K14" t="s">
        <v>84</v>
      </c>
      <c r="L14">
        <v>1800</v>
      </c>
      <c r="M14">
        <v>6500</v>
      </c>
      <c r="N14">
        <v>1800</v>
      </c>
      <c r="O14">
        <v>6500</v>
      </c>
      <c r="P14">
        <v>22.5</v>
      </c>
      <c r="Q14">
        <v>81.25</v>
      </c>
    </row>
    <row r="15" spans="1:17">
      <c r="A15">
        <v>133</v>
      </c>
      <c r="B15" t="s">
        <v>70</v>
      </c>
      <c r="C15" t="s">
        <v>19</v>
      </c>
      <c r="D15">
        <v>2022</v>
      </c>
      <c r="E15">
        <v>8</v>
      </c>
      <c r="F15" t="s">
        <v>71</v>
      </c>
      <c r="G15">
        <v>2</v>
      </c>
      <c r="H15">
        <v>5.5</v>
      </c>
      <c r="I15">
        <v>12</v>
      </c>
      <c r="J15" t="s">
        <v>83</v>
      </c>
      <c r="K15" t="s">
        <v>84</v>
      </c>
      <c r="L15">
        <v>5500</v>
      </c>
      <c r="M15">
        <v>12000</v>
      </c>
      <c r="N15">
        <v>5500</v>
      </c>
      <c r="O15">
        <v>12000</v>
      </c>
      <c r="P15">
        <v>68.75</v>
      </c>
      <c r="Q15">
        <v>150</v>
      </c>
    </row>
    <row r="16" spans="1:17">
      <c r="A16">
        <v>132</v>
      </c>
      <c r="B16" t="s">
        <v>68</v>
      </c>
      <c r="C16" t="s">
        <v>19</v>
      </c>
      <c r="D16">
        <v>2021</v>
      </c>
      <c r="E16">
        <v>7.6</v>
      </c>
      <c r="F16" t="s">
        <v>69</v>
      </c>
      <c r="G16">
        <v>2</v>
      </c>
      <c r="H16">
        <v>2</v>
      </c>
      <c r="I16">
        <v>3.6</v>
      </c>
      <c r="J16" t="s">
        <v>83</v>
      </c>
      <c r="K16" t="s">
        <v>84</v>
      </c>
      <c r="L16">
        <v>2000</v>
      </c>
      <c r="M16">
        <v>3600</v>
      </c>
      <c r="N16">
        <v>2000</v>
      </c>
      <c r="O16">
        <v>3600</v>
      </c>
      <c r="P16">
        <v>25</v>
      </c>
      <c r="Q16">
        <v>45</v>
      </c>
    </row>
    <row r="17" spans="1:17">
      <c r="A17">
        <v>131</v>
      </c>
      <c r="B17" t="s">
        <v>66</v>
      </c>
      <c r="C17" t="s">
        <v>19</v>
      </c>
      <c r="D17">
        <v>2018</v>
      </c>
      <c r="E17" t="s">
        <v>67</v>
      </c>
      <c r="F17" t="s">
        <v>32</v>
      </c>
      <c r="G17">
        <v>1</v>
      </c>
      <c r="H17">
        <v>1</v>
      </c>
      <c r="I17">
        <v>5.9</v>
      </c>
      <c r="J17" t="s">
        <v>83</v>
      </c>
      <c r="K17" t="s">
        <v>84</v>
      </c>
      <c r="L17">
        <v>1000</v>
      </c>
      <c r="M17">
        <v>5900</v>
      </c>
      <c r="N17">
        <v>1000</v>
      </c>
      <c r="O17">
        <v>5900</v>
      </c>
      <c r="P17">
        <v>12.5</v>
      </c>
      <c r="Q17">
        <v>73.75</v>
      </c>
    </row>
    <row r="18" spans="1:17">
      <c r="A18">
        <v>130</v>
      </c>
      <c r="B18" t="s">
        <v>65</v>
      </c>
      <c r="C18" t="s">
        <v>19</v>
      </c>
      <c r="D18">
        <v>2014</v>
      </c>
      <c r="E18">
        <v>8.1</v>
      </c>
      <c r="F18" t="s">
        <v>32</v>
      </c>
      <c r="G18">
        <v>1</v>
      </c>
      <c r="H18">
        <v>850</v>
      </c>
      <c r="I18">
        <v>8540</v>
      </c>
      <c r="J18" t="s">
        <v>85</v>
      </c>
      <c r="K18" t="s">
        <v>84</v>
      </c>
      <c r="L18">
        <v>850</v>
      </c>
      <c r="M18">
        <v>8540</v>
      </c>
      <c r="N18">
        <v>850</v>
      </c>
      <c r="O18">
        <v>8540</v>
      </c>
      <c r="P18">
        <v>10.625</v>
      </c>
      <c r="Q18">
        <v>106.75</v>
      </c>
    </row>
    <row r="19" spans="1:17">
      <c r="A19">
        <v>129</v>
      </c>
      <c r="B19" t="s">
        <v>63</v>
      </c>
      <c r="C19" t="s">
        <v>19</v>
      </c>
      <c r="D19">
        <v>2003</v>
      </c>
      <c r="E19">
        <v>8.1</v>
      </c>
      <c r="F19" t="s">
        <v>64</v>
      </c>
      <c r="G19">
        <v>1</v>
      </c>
      <c r="H19">
        <v>100</v>
      </c>
      <c r="I19">
        <v>410</v>
      </c>
      <c r="J19" t="s">
        <v>85</v>
      </c>
      <c r="K19" t="s">
        <v>84</v>
      </c>
      <c r="L19">
        <v>100</v>
      </c>
      <c r="M19">
        <v>410</v>
      </c>
      <c r="N19">
        <v>100</v>
      </c>
      <c r="O19">
        <v>410</v>
      </c>
      <c r="P19">
        <v>1.25</v>
      </c>
      <c r="Q19">
        <v>5.125</v>
      </c>
    </row>
    <row r="20" spans="1:17">
      <c r="A20">
        <v>128</v>
      </c>
      <c r="B20" t="s">
        <v>62</v>
      </c>
      <c r="C20" t="s">
        <v>19</v>
      </c>
      <c r="D20">
        <v>2007</v>
      </c>
      <c r="E20">
        <v>8.3000000000000007</v>
      </c>
      <c r="F20" t="s">
        <v>36</v>
      </c>
      <c r="G20">
        <v>1</v>
      </c>
      <c r="H20">
        <v>120</v>
      </c>
      <c r="I20">
        <v>1350</v>
      </c>
      <c r="J20" t="s">
        <v>85</v>
      </c>
      <c r="K20" t="s">
        <v>84</v>
      </c>
      <c r="L20">
        <v>120</v>
      </c>
      <c r="M20">
        <v>1350</v>
      </c>
      <c r="N20">
        <v>120</v>
      </c>
      <c r="O20">
        <v>1350</v>
      </c>
      <c r="P20">
        <v>1.5</v>
      </c>
      <c r="Q20">
        <v>16.875</v>
      </c>
    </row>
    <row r="21" spans="1:17">
      <c r="A21">
        <v>127</v>
      </c>
      <c r="B21" t="s">
        <v>60</v>
      </c>
      <c r="C21" t="s">
        <v>19</v>
      </c>
      <c r="D21">
        <v>1955</v>
      </c>
      <c r="E21">
        <v>8.3000000000000007</v>
      </c>
      <c r="F21" t="s">
        <v>61</v>
      </c>
      <c r="G21">
        <v>7</v>
      </c>
      <c r="H21">
        <v>70</v>
      </c>
      <c r="I21">
        <v>100</v>
      </c>
      <c r="J21" t="s">
        <v>85</v>
      </c>
      <c r="K21" t="s">
        <v>84</v>
      </c>
      <c r="L21">
        <v>70</v>
      </c>
      <c r="M21">
        <v>100</v>
      </c>
      <c r="N21">
        <v>70</v>
      </c>
      <c r="O21">
        <v>100</v>
      </c>
      <c r="P21">
        <v>0.875</v>
      </c>
      <c r="Q21">
        <v>1.25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B57D-312D-46DD-9623-CC3DAE1CF32E}">
  <dimension ref="A3:O29"/>
  <sheetViews>
    <sheetView topLeftCell="B2" workbookViewId="0">
      <selection activeCell="F6" sqref="F6"/>
    </sheetView>
  </sheetViews>
  <sheetFormatPr defaultRowHeight="15"/>
  <cols>
    <col min="1" max="1" width="12.7109375" bestFit="1" customWidth="1"/>
    <col min="2" max="2" width="14" bestFit="1" customWidth="1"/>
    <col min="3" max="3" width="14.7109375" bestFit="1" customWidth="1"/>
    <col min="4" max="4" width="8.28515625" customWidth="1"/>
    <col min="5" max="5" width="11.7109375" bestFit="1" customWidth="1"/>
    <col min="6" max="6" width="19.7109375" customWidth="1"/>
    <col min="7" max="7" width="8.28515625" customWidth="1"/>
    <col min="8" max="8" width="15.7109375" bestFit="1" customWidth="1"/>
    <col min="9" max="9" width="17.85546875" bestFit="1" customWidth="1"/>
    <col min="11" max="11" width="41.140625" bestFit="1" customWidth="1"/>
    <col min="12" max="12" width="19.7109375" bestFit="1" customWidth="1"/>
    <col min="14" max="14" width="20.42578125" bestFit="1" customWidth="1"/>
    <col min="15" max="15" width="19.7109375" bestFit="1" customWidth="1"/>
    <col min="17" max="17" width="15.140625" bestFit="1" customWidth="1"/>
    <col min="18" max="18" width="17.85546875" bestFit="1" customWidth="1"/>
  </cols>
  <sheetData>
    <row r="3" spans="1:15">
      <c r="A3" t="s">
        <v>86</v>
      </c>
      <c r="B3" t="s">
        <v>87</v>
      </c>
      <c r="C3" t="s">
        <v>88</v>
      </c>
      <c r="E3" s="8" t="s">
        <v>2</v>
      </c>
      <c r="F3" t="s">
        <v>89</v>
      </c>
      <c r="H3" s="8" t="s">
        <v>3</v>
      </c>
      <c r="I3" t="s">
        <v>90</v>
      </c>
      <c r="K3" s="8" t="s">
        <v>1</v>
      </c>
      <c r="L3" t="s">
        <v>89</v>
      </c>
      <c r="N3" s="8" t="s">
        <v>5</v>
      </c>
      <c r="O3" t="s">
        <v>89</v>
      </c>
    </row>
    <row r="4" spans="1:15">
      <c r="A4" s="11">
        <v>39</v>
      </c>
      <c r="B4" s="9">
        <v>19589.262500000001</v>
      </c>
      <c r="C4" s="11">
        <v>7.9473684210526319</v>
      </c>
      <c r="E4" s="9" t="s">
        <v>19</v>
      </c>
      <c r="F4" s="9">
        <v>1011.3625</v>
      </c>
      <c r="H4">
        <v>1946</v>
      </c>
      <c r="I4" s="11">
        <v>1</v>
      </c>
      <c r="K4" t="s">
        <v>41</v>
      </c>
      <c r="L4" s="9">
        <v>701.8</v>
      </c>
      <c r="N4" t="s">
        <v>23</v>
      </c>
      <c r="O4" s="9">
        <v>9054.6</v>
      </c>
    </row>
    <row r="5" spans="1:15">
      <c r="E5" t="s">
        <v>22</v>
      </c>
      <c r="F5" s="9">
        <v>18577.900000000001</v>
      </c>
      <c r="H5">
        <v>1955</v>
      </c>
      <c r="I5" s="11">
        <v>1</v>
      </c>
      <c r="K5" t="s">
        <v>79</v>
      </c>
      <c r="L5" s="9">
        <v>714.4</v>
      </c>
      <c r="N5" t="s">
        <v>51</v>
      </c>
      <c r="O5" s="9">
        <v>2847</v>
      </c>
    </row>
    <row r="6" spans="1:15">
      <c r="E6" t="s">
        <v>91</v>
      </c>
      <c r="F6" s="9">
        <v>19589.262500000001</v>
      </c>
      <c r="H6">
        <v>1972</v>
      </c>
      <c r="I6" s="11">
        <v>1</v>
      </c>
      <c r="K6" t="s">
        <v>25</v>
      </c>
      <c r="L6" s="9">
        <v>854</v>
      </c>
      <c r="N6" t="s">
        <v>47</v>
      </c>
      <c r="O6" s="9">
        <v>2493</v>
      </c>
    </row>
    <row r="7" spans="1:15">
      <c r="H7">
        <v>1975</v>
      </c>
      <c r="I7" s="11">
        <v>1</v>
      </c>
      <c r="K7" t="s">
        <v>21</v>
      </c>
      <c r="L7" s="9">
        <v>954.8</v>
      </c>
      <c r="N7" t="s">
        <v>45</v>
      </c>
      <c r="O7" s="9">
        <v>1828.7</v>
      </c>
    </row>
    <row r="8" spans="1:15">
      <c r="H8">
        <v>1993</v>
      </c>
      <c r="I8" s="11">
        <v>2</v>
      </c>
      <c r="K8" t="s">
        <v>53</v>
      </c>
      <c r="L8" s="9">
        <v>1006</v>
      </c>
      <c r="N8" t="s">
        <v>54</v>
      </c>
      <c r="O8" s="9">
        <v>1006</v>
      </c>
    </row>
    <row r="9" spans="1:15">
      <c r="H9">
        <v>1994</v>
      </c>
      <c r="I9" s="11">
        <v>1</v>
      </c>
      <c r="K9" t="s">
        <v>56</v>
      </c>
      <c r="L9" s="9">
        <v>1046</v>
      </c>
      <c r="N9" t="s">
        <v>40</v>
      </c>
      <c r="O9" s="9">
        <v>701.8</v>
      </c>
    </row>
    <row r="10" spans="1:15">
      <c r="H10">
        <v>1995</v>
      </c>
      <c r="I10" s="11">
        <v>1</v>
      </c>
      <c r="K10" t="s">
        <v>59</v>
      </c>
      <c r="L10" s="9">
        <v>2048</v>
      </c>
      <c r="N10" t="s">
        <v>36</v>
      </c>
      <c r="O10" s="9">
        <v>323.72500000000002</v>
      </c>
    </row>
    <row r="11" spans="1:15">
      <c r="H11">
        <v>1997</v>
      </c>
      <c r="I11" s="11">
        <v>1</v>
      </c>
      <c r="K11" t="s">
        <v>46</v>
      </c>
      <c r="L11" s="9">
        <v>2202</v>
      </c>
      <c r="N11" t="s">
        <v>43</v>
      </c>
      <c r="O11" s="9">
        <v>307.10000000000002</v>
      </c>
    </row>
    <row r="12" spans="1:15">
      <c r="H12">
        <v>2000</v>
      </c>
      <c r="I12" s="11">
        <v>1</v>
      </c>
      <c r="K12" t="s">
        <v>58</v>
      </c>
      <c r="L12" s="9">
        <v>2798</v>
      </c>
      <c r="N12" t="s">
        <v>32</v>
      </c>
      <c r="O12" s="9">
        <v>230.5</v>
      </c>
    </row>
    <row r="13" spans="1:15">
      <c r="H13">
        <v>2001</v>
      </c>
      <c r="I13" s="11">
        <v>1</v>
      </c>
      <c r="K13" t="s">
        <v>50</v>
      </c>
      <c r="L13" s="9">
        <v>2847</v>
      </c>
      <c r="N13" t="s">
        <v>77</v>
      </c>
      <c r="O13" s="9">
        <v>184.875</v>
      </c>
    </row>
    <row r="14" spans="1:15">
      <c r="H14">
        <v>2003</v>
      </c>
      <c r="I14" s="11">
        <v>1</v>
      </c>
      <c r="K14" t="s">
        <v>91</v>
      </c>
      <c r="L14" s="9">
        <v>15172</v>
      </c>
      <c r="N14" t="s">
        <v>91</v>
      </c>
      <c r="O14" s="9">
        <v>18977.3</v>
      </c>
    </row>
    <row r="15" spans="1:15">
      <c r="H15">
        <v>2006</v>
      </c>
      <c r="I15" s="11">
        <v>1</v>
      </c>
    </row>
    <row r="16" spans="1:15">
      <c r="H16">
        <v>2007</v>
      </c>
      <c r="I16" s="11">
        <v>1</v>
      </c>
    </row>
    <row r="17" spans="8:9">
      <c r="H17">
        <v>2008</v>
      </c>
      <c r="I17" s="11">
        <v>1</v>
      </c>
    </row>
    <row r="18" spans="8:9">
      <c r="H18">
        <v>2009</v>
      </c>
      <c r="I18" s="11">
        <v>2</v>
      </c>
    </row>
    <row r="19" spans="8:9">
      <c r="H19">
        <v>2010</v>
      </c>
      <c r="I19" s="11">
        <v>1</v>
      </c>
    </row>
    <row r="20" spans="8:9">
      <c r="H20">
        <v>2011</v>
      </c>
      <c r="I20" s="11">
        <v>1</v>
      </c>
    </row>
    <row r="21" spans="8:9">
      <c r="H21">
        <v>2013</v>
      </c>
      <c r="I21" s="11">
        <v>1</v>
      </c>
    </row>
    <row r="22" spans="8:9">
      <c r="H22">
        <v>2014</v>
      </c>
      <c r="I22" s="11">
        <v>3</v>
      </c>
    </row>
    <row r="23" spans="8:9">
      <c r="H23">
        <v>2015</v>
      </c>
      <c r="I23" s="11">
        <v>3</v>
      </c>
    </row>
    <row r="24" spans="8:9">
      <c r="H24">
        <v>2017</v>
      </c>
      <c r="I24" s="11">
        <v>1</v>
      </c>
    </row>
    <row r="25" spans="8:9">
      <c r="H25">
        <v>2018</v>
      </c>
      <c r="I25" s="11">
        <v>3</v>
      </c>
    </row>
    <row r="26" spans="8:9">
      <c r="H26">
        <v>2019</v>
      </c>
      <c r="I26" s="11">
        <v>2</v>
      </c>
    </row>
    <row r="27" spans="8:9">
      <c r="H27">
        <v>2021</v>
      </c>
      <c r="I27" s="11">
        <v>2</v>
      </c>
    </row>
    <row r="28" spans="8:9">
      <c r="H28">
        <v>2022</v>
      </c>
      <c r="I28" s="11">
        <v>5</v>
      </c>
    </row>
    <row r="29" spans="8:9">
      <c r="H29" t="s">
        <v>91</v>
      </c>
      <c r="I29" s="1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A81B-1199-494E-B813-17C1F7AE3AB7}">
  <dimension ref="A1"/>
  <sheetViews>
    <sheetView showGridLines="0" showRowColHeaders="0" tabSelected="1" workbookViewId="0">
      <selection activeCell="V4" sqref="V4"/>
    </sheetView>
  </sheetViews>
  <sheetFormatPr defaultRowHeight="15"/>
  <cols>
    <col min="1" max="1" width="17.28515625" customWidth="1"/>
    <col min="2" max="2" width="26" customWidth="1"/>
    <col min="3" max="3" width="27.140625" customWidth="1"/>
    <col min="22" max="23" width="11.7109375" bestFit="1" customWidth="1"/>
    <col min="24" max="24" width="19" bestFit="1" customWidth="1"/>
    <col min="25" max="25" width="12.7109375" bestFit="1" customWidth="1"/>
    <col min="26" max="26" width="19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topLeftCell="A35" zoomScale="160" zoomScaleNormal="160" workbookViewId="0">
      <selection activeCell="J19" sqref="J19"/>
    </sheetView>
  </sheetViews>
  <sheetFormatPr defaultColWidth="8.85546875" defaultRowHeight="15"/>
  <cols>
    <col min="1" max="1" width="9.42578125" customWidth="1"/>
    <col min="5" max="5" width="30.28515625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101</v>
      </c>
      <c r="B2">
        <v>1</v>
      </c>
      <c r="C2">
        <v>12.5</v>
      </c>
      <c r="D2" t="s">
        <v>83</v>
      </c>
      <c r="E2" t="s">
        <v>84</v>
      </c>
    </row>
    <row r="3" spans="1:5">
      <c r="A3">
        <v>102</v>
      </c>
      <c r="B3">
        <v>200</v>
      </c>
      <c r="C3">
        <v>954.8</v>
      </c>
      <c r="D3" t="s">
        <v>85</v>
      </c>
      <c r="E3" t="s">
        <v>92</v>
      </c>
    </row>
    <row r="4" spans="1:5">
      <c r="A4">
        <v>103</v>
      </c>
      <c r="B4">
        <v>165</v>
      </c>
      <c r="C4">
        <v>644.79999999999995</v>
      </c>
      <c r="D4" t="s">
        <v>85</v>
      </c>
      <c r="E4" t="s">
        <v>92</v>
      </c>
    </row>
    <row r="5" spans="1:5">
      <c r="A5">
        <v>104</v>
      </c>
      <c r="B5">
        <v>180</v>
      </c>
      <c r="C5">
        <v>854</v>
      </c>
      <c r="D5" t="s">
        <v>85</v>
      </c>
      <c r="E5" t="s">
        <v>92</v>
      </c>
    </row>
    <row r="6" spans="1:5">
      <c r="A6">
        <v>105</v>
      </c>
      <c r="B6">
        <v>250</v>
      </c>
      <c r="C6">
        <v>670</v>
      </c>
      <c r="D6" t="s">
        <v>85</v>
      </c>
      <c r="E6" t="s">
        <v>92</v>
      </c>
    </row>
    <row r="7" spans="1:5">
      <c r="A7">
        <v>107</v>
      </c>
      <c r="B7">
        <v>400</v>
      </c>
      <c r="C7">
        <v>2000</v>
      </c>
      <c r="D7" t="s">
        <v>85</v>
      </c>
      <c r="E7" t="s">
        <v>84</v>
      </c>
    </row>
    <row r="8" spans="1:5">
      <c r="A8">
        <v>108</v>
      </c>
      <c r="B8">
        <v>550</v>
      </c>
      <c r="C8">
        <v>4000</v>
      </c>
      <c r="D8" t="s">
        <v>85</v>
      </c>
      <c r="E8" t="s">
        <v>84</v>
      </c>
    </row>
    <row r="9" spans="1:5">
      <c r="A9">
        <v>109</v>
      </c>
      <c r="B9">
        <v>390</v>
      </c>
      <c r="C9">
        <v>1360</v>
      </c>
      <c r="D9" t="s">
        <v>85</v>
      </c>
      <c r="E9" t="s">
        <v>84</v>
      </c>
    </row>
    <row r="10" spans="1:5">
      <c r="A10">
        <v>110</v>
      </c>
      <c r="B10">
        <v>1.4</v>
      </c>
      <c r="C10">
        <v>3.5</v>
      </c>
      <c r="D10" t="s">
        <v>83</v>
      </c>
      <c r="E10" t="s">
        <v>84</v>
      </c>
    </row>
    <row r="11" spans="1:5">
      <c r="A11">
        <v>111</v>
      </c>
      <c r="B11">
        <v>25</v>
      </c>
      <c r="C11">
        <v>73.3</v>
      </c>
      <c r="D11" t="s">
        <v>85</v>
      </c>
      <c r="E11" t="s">
        <v>92</v>
      </c>
    </row>
    <row r="12" spans="1:5">
      <c r="A12">
        <v>113</v>
      </c>
      <c r="B12">
        <v>165</v>
      </c>
      <c r="C12">
        <v>701.8</v>
      </c>
      <c r="D12" t="s">
        <v>85</v>
      </c>
      <c r="E12" t="s">
        <v>92</v>
      </c>
    </row>
    <row r="13" spans="1:5">
      <c r="A13">
        <v>114</v>
      </c>
      <c r="B13">
        <v>205</v>
      </c>
      <c r="C13">
        <v>365.3</v>
      </c>
      <c r="D13" t="s">
        <v>85</v>
      </c>
      <c r="E13" t="s">
        <v>92</v>
      </c>
    </row>
    <row r="14" spans="1:5">
      <c r="A14">
        <v>115</v>
      </c>
      <c r="B14">
        <v>55</v>
      </c>
      <c r="C14">
        <v>307.10000000000002</v>
      </c>
      <c r="D14" t="s">
        <v>85</v>
      </c>
      <c r="E14" t="s">
        <v>92</v>
      </c>
    </row>
    <row r="15" spans="1:5">
      <c r="A15">
        <v>116</v>
      </c>
      <c r="B15">
        <v>103</v>
      </c>
      <c r="C15">
        <v>460.5</v>
      </c>
      <c r="D15" t="s">
        <v>85</v>
      </c>
      <c r="E15" t="s">
        <v>92</v>
      </c>
    </row>
    <row r="16" spans="1:5">
      <c r="A16">
        <v>117</v>
      </c>
      <c r="B16">
        <v>200</v>
      </c>
      <c r="C16">
        <v>2202</v>
      </c>
      <c r="D16" t="s">
        <v>85</v>
      </c>
      <c r="E16" t="s">
        <v>92</v>
      </c>
    </row>
    <row r="17" spans="1:5">
      <c r="A17">
        <v>118</v>
      </c>
      <c r="B17">
        <v>3.18</v>
      </c>
      <c r="C17">
        <v>3.3</v>
      </c>
      <c r="D17" t="s">
        <v>85</v>
      </c>
      <c r="E17" t="s">
        <v>92</v>
      </c>
    </row>
    <row r="18" spans="1:5">
      <c r="A18">
        <v>119</v>
      </c>
      <c r="B18">
        <v>237</v>
      </c>
      <c r="C18">
        <v>2847</v>
      </c>
      <c r="D18" t="s">
        <v>85</v>
      </c>
      <c r="E18" t="s">
        <v>92</v>
      </c>
    </row>
    <row r="19" spans="1:5">
      <c r="A19">
        <v>120</v>
      </c>
      <c r="B19">
        <v>7.2</v>
      </c>
      <c r="C19">
        <v>291</v>
      </c>
      <c r="D19" t="s">
        <v>85</v>
      </c>
      <c r="E19" t="s">
        <v>92</v>
      </c>
    </row>
    <row r="20" spans="1:5">
      <c r="A20">
        <v>121</v>
      </c>
      <c r="B20">
        <v>185</v>
      </c>
      <c r="C20">
        <v>1006</v>
      </c>
      <c r="D20" t="s">
        <v>85</v>
      </c>
      <c r="E20" t="s">
        <v>92</v>
      </c>
    </row>
    <row r="21" spans="1:5">
      <c r="A21">
        <v>122</v>
      </c>
      <c r="B21">
        <v>22</v>
      </c>
      <c r="C21">
        <v>322.2</v>
      </c>
      <c r="D21" t="s">
        <v>85</v>
      </c>
      <c r="E21" t="s">
        <v>92</v>
      </c>
    </row>
    <row r="22" spans="1:5">
      <c r="A22">
        <v>123</v>
      </c>
      <c r="B22">
        <v>63</v>
      </c>
      <c r="C22">
        <v>1046</v>
      </c>
      <c r="D22" t="s">
        <v>85</v>
      </c>
      <c r="E22" t="s">
        <v>92</v>
      </c>
    </row>
    <row r="23" spans="1:5">
      <c r="A23">
        <v>124</v>
      </c>
      <c r="B23">
        <v>15.5</v>
      </c>
      <c r="C23">
        <v>263.10000000000002</v>
      </c>
      <c r="D23" t="s">
        <v>85</v>
      </c>
      <c r="E23" t="s">
        <v>92</v>
      </c>
    </row>
    <row r="24" spans="1:5">
      <c r="A24">
        <v>125</v>
      </c>
      <c r="B24">
        <v>400</v>
      </c>
      <c r="C24">
        <v>2798</v>
      </c>
      <c r="D24" t="s">
        <v>85</v>
      </c>
      <c r="E24" t="s">
        <v>92</v>
      </c>
    </row>
    <row r="25" spans="1:5">
      <c r="A25">
        <v>126</v>
      </c>
      <c r="B25">
        <v>400</v>
      </c>
      <c r="C25">
        <v>2048</v>
      </c>
      <c r="D25" t="s">
        <v>85</v>
      </c>
      <c r="E25" t="s">
        <v>92</v>
      </c>
    </row>
    <row r="26" spans="1:5">
      <c r="A26">
        <v>127</v>
      </c>
      <c r="B26">
        <v>70</v>
      </c>
      <c r="C26">
        <v>100</v>
      </c>
      <c r="D26" t="s">
        <v>85</v>
      </c>
      <c r="E26" t="s">
        <v>84</v>
      </c>
    </row>
    <row r="27" spans="1:5">
      <c r="A27">
        <v>128</v>
      </c>
      <c r="B27">
        <v>120</v>
      </c>
      <c r="C27">
        <v>1350</v>
      </c>
      <c r="D27" t="s">
        <v>85</v>
      </c>
      <c r="E27" t="s">
        <v>84</v>
      </c>
    </row>
    <row r="28" spans="1:5">
      <c r="A28">
        <v>129</v>
      </c>
      <c r="B28">
        <v>100</v>
      </c>
      <c r="C28">
        <v>410</v>
      </c>
      <c r="D28" t="s">
        <v>85</v>
      </c>
      <c r="E28" t="s">
        <v>84</v>
      </c>
    </row>
    <row r="29" spans="1:5">
      <c r="A29">
        <v>130</v>
      </c>
      <c r="B29">
        <v>850</v>
      </c>
      <c r="C29">
        <v>8540</v>
      </c>
      <c r="D29" t="s">
        <v>85</v>
      </c>
      <c r="E29" t="s">
        <v>84</v>
      </c>
    </row>
    <row r="30" spans="1:5">
      <c r="A30">
        <v>131</v>
      </c>
      <c r="B30">
        <v>1</v>
      </c>
      <c r="C30">
        <v>5.9</v>
      </c>
      <c r="D30" t="s">
        <v>83</v>
      </c>
      <c r="E30" t="s">
        <v>84</v>
      </c>
    </row>
    <row r="31" spans="1:5">
      <c r="A31">
        <v>132</v>
      </c>
      <c r="B31">
        <v>2</v>
      </c>
      <c r="C31">
        <v>3.6</v>
      </c>
      <c r="D31" t="s">
        <v>83</v>
      </c>
      <c r="E31" t="s">
        <v>84</v>
      </c>
    </row>
    <row r="32" spans="1:5">
      <c r="A32">
        <v>133</v>
      </c>
      <c r="B32">
        <v>5.5</v>
      </c>
      <c r="C32">
        <v>12</v>
      </c>
      <c r="D32" t="s">
        <v>83</v>
      </c>
      <c r="E32" t="s">
        <v>84</v>
      </c>
    </row>
    <row r="33" spans="1:5">
      <c r="A33">
        <v>134</v>
      </c>
      <c r="B33">
        <v>1.8</v>
      </c>
      <c r="C33">
        <v>6.5</v>
      </c>
      <c r="D33" t="s">
        <v>83</v>
      </c>
      <c r="E33" t="s">
        <v>84</v>
      </c>
    </row>
    <row r="34" spans="1:5">
      <c r="A34">
        <v>135</v>
      </c>
      <c r="B34">
        <v>250</v>
      </c>
      <c r="C34">
        <v>3409</v>
      </c>
      <c r="D34" t="s">
        <v>85</v>
      </c>
      <c r="E34" t="s">
        <v>84</v>
      </c>
    </row>
    <row r="35" spans="1:5">
      <c r="A35">
        <v>136</v>
      </c>
      <c r="B35">
        <v>900</v>
      </c>
      <c r="C35">
        <v>11690</v>
      </c>
      <c r="D35" t="s">
        <v>85</v>
      </c>
      <c r="E35" t="s">
        <v>84</v>
      </c>
    </row>
    <row r="36" spans="1:5">
      <c r="A36">
        <v>137</v>
      </c>
      <c r="B36">
        <v>216.7</v>
      </c>
      <c r="C36">
        <v>370.6</v>
      </c>
      <c r="D36" t="s">
        <v>85</v>
      </c>
      <c r="E36" t="s">
        <v>92</v>
      </c>
    </row>
    <row r="37" spans="1:5">
      <c r="A37">
        <v>138</v>
      </c>
      <c r="B37">
        <v>177</v>
      </c>
      <c r="C37">
        <v>714.4</v>
      </c>
      <c r="D37" t="s">
        <v>85</v>
      </c>
      <c r="E37" t="s">
        <v>92</v>
      </c>
    </row>
    <row r="38" spans="1:5">
      <c r="A38">
        <v>139</v>
      </c>
      <c r="B38">
        <v>1.8</v>
      </c>
      <c r="C38">
        <v>3.1</v>
      </c>
      <c r="D38" t="s">
        <v>83</v>
      </c>
      <c r="E38" t="s">
        <v>84</v>
      </c>
    </row>
    <row r="39" spans="1:5">
      <c r="A39">
        <v>140</v>
      </c>
      <c r="B39">
        <v>500</v>
      </c>
      <c r="C39">
        <v>950</v>
      </c>
      <c r="D39" t="s">
        <v>85</v>
      </c>
      <c r="E39" t="s">
        <v>84</v>
      </c>
    </row>
    <row r="40" spans="1:5">
      <c r="A40">
        <v>406</v>
      </c>
      <c r="B40">
        <v>30</v>
      </c>
      <c r="C40">
        <v>350</v>
      </c>
      <c r="D40" t="s">
        <v>85</v>
      </c>
      <c r="E40" t="s">
        <v>84</v>
      </c>
    </row>
    <row r="41" spans="1:5">
      <c r="A41">
        <v>412</v>
      </c>
      <c r="B41">
        <v>160</v>
      </c>
      <c r="C41">
        <v>836.8</v>
      </c>
      <c r="D41" t="s">
        <v>85</v>
      </c>
      <c r="E41" t="s">
        <v>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B11" sqref="B11"/>
    </sheetView>
  </sheetViews>
  <sheetFormatPr defaultColWidth="8.85546875" defaultRowHeight="15"/>
  <cols>
    <col min="2" max="2" width="26.42578125" customWidth="1"/>
    <col min="3" max="3" width="10.85546875" customWidth="1"/>
    <col min="5" max="5" width="22.140625" customWidth="1"/>
  </cols>
  <sheetData>
    <row r="1" spans="1:3">
      <c r="A1" s="2" t="s">
        <v>93</v>
      </c>
      <c r="B1" s="2" t="s">
        <v>94</v>
      </c>
      <c r="C1" s="2" t="s">
        <v>95</v>
      </c>
    </row>
    <row r="2" spans="1:3">
      <c r="A2">
        <v>50</v>
      </c>
      <c r="B2" t="s">
        <v>96</v>
      </c>
      <c r="C2">
        <v>1986</v>
      </c>
    </row>
    <row r="3" spans="1:3">
      <c r="A3">
        <v>51</v>
      </c>
      <c r="B3" t="s">
        <v>97</v>
      </c>
      <c r="C3">
        <v>1959</v>
      </c>
    </row>
    <row r="4" spans="1:3">
      <c r="A4">
        <v>52</v>
      </c>
      <c r="B4" t="s">
        <v>98</v>
      </c>
      <c r="C4">
        <v>1976</v>
      </c>
    </row>
    <row r="5" spans="1:3">
      <c r="A5">
        <v>53</v>
      </c>
      <c r="B5" t="s">
        <v>99</v>
      </c>
      <c r="C5">
        <v>1989</v>
      </c>
    </row>
    <row r="6" spans="1:3">
      <c r="A6">
        <v>54</v>
      </c>
      <c r="B6" t="s">
        <v>100</v>
      </c>
      <c r="C6">
        <v>1983</v>
      </c>
    </row>
    <row r="7" spans="1:3">
      <c r="A7">
        <v>55</v>
      </c>
      <c r="B7" t="s">
        <v>101</v>
      </c>
      <c r="C7">
        <v>1981</v>
      </c>
    </row>
    <row r="8" spans="1:3">
      <c r="A8">
        <v>56</v>
      </c>
      <c r="B8" t="s">
        <v>102</v>
      </c>
      <c r="C8">
        <v>1981</v>
      </c>
    </row>
    <row r="9" spans="1:3">
      <c r="A9">
        <v>57</v>
      </c>
      <c r="B9" t="s">
        <v>103</v>
      </c>
      <c r="C9">
        <v>1942</v>
      </c>
    </row>
    <row r="10" spans="1:3">
      <c r="A10">
        <v>58</v>
      </c>
      <c r="B10" t="s">
        <v>104</v>
      </c>
      <c r="C10">
        <v>1948</v>
      </c>
    </row>
    <row r="11" spans="1:3">
      <c r="A11">
        <v>59</v>
      </c>
      <c r="B11" t="s">
        <v>105</v>
      </c>
      <c r="C11">
        <v>1965</v>
      </c>
    </row>
    <row r="12" spans="1:3">
      <c r="A12">
        <v>60</v>
      </c>
      <c r="B12" t="s">
        <v>106</v>
      </c>
      <c r="C12">
        <v>1974</v>
      </c>
    </row>
    <row r="13" spans="1:3">
      <c r="A13">
        <v>61</v>
      </c>
      <c r="B13" t="s">
        <v>107</v>
      </c>
      <c r="C13">
        <v>1965</v>
      </c>
    </row>
    <row r="14" spans="1:3">
      <c r="A14">
        <v>62</v>
      </c>
      <c r="B14" t="s">
        <v>108</v>
      </c>
      <c r="C14">
        <v>1970</v>
      </c>
    </row>
    <row r="15" spans="1:3">
      <c r="A15">
        <v>63</v>
      </c>
      <c r="B15" t="s">
        <v>109</v>
      </c>
      <c r="C15">
        <v>1979</v>
      </c>
    </row>
    <row r="16" spans="1:3">
      <c r="A16">
        <v>64</v>
      </c>
      <c r="B16" t="s">
        <v>110</v>
      </c>
      <c r="C16">
        <v>1974</v>
      </c>
    </row>
    <row r="17" spans="1:3">
      <c r="A17">
        <v>65</v>
      </c>
      <c r="B17" t="s">
        <v>111</v>
      </c>
      <c r="C17">
        <v>1985</v>
      </c>
    </row>
    <row r="18" spans="1:3">
      <c r="A18">
        <v>66</v>
      </c>
      <c r="B18" t="s">
        <v>112</v>
      </c>
      <c r="C18">
        <v>1986</v>
      </c>
    </row>
    <row r="19" spans="1:3">
      <c r="A19">
        <v>67</v>
      </c>
      <c r="B19" t="s">
        <v>113</v>
      </c>
      <c r="C19">
        <v>1958</v>
      </c>
    </row>
    <row r="20" spans="1:3">
      <c r="A20">
        <v>68</v>
      </c>
      <c r="B20" t="s">
        <v>114</v>
      </c>
      <c r="C20">
        <v>1937</v>
      </c>
    </row>
    <row r="21" spans="1:3">
      <c r="A21">
        <v>69</v>
      </c>
      <c r="B21" t="s">
        <v>115</v>
      </c>
      <c r="C21">
        <v>1974</v>
      </c>
    </row>
    <row r="22" spans="1:3">
      <c r="A22">
        <v>70</v>
      </c>
      <c r="B22" t="s">
        <v>116</v>
      </c>
      <c r="C22">
        <v>1959</v>
      </c>
    </row>
    <row r="23" spans="1:3">
      <c r="A23">
        <v>71</v>
      </c>
      <c r="B23" t="s">
        <v>117</v>
      </c>
      <c r="C23">
        <v>1969</v>
      </c>
    </row>
    <row r="24" spans="1:3">
      <c r="A24">
        <v>72</v>
      </c>
      <c r="B24" t="s">
        <v>118</v>
      </c>
      <c r="C24">
        <v>1982</v>
      </c>
    </row>
    <row r="25" spans="1:3">
      <c r="A25">
        <v>73</v>
      </c>
      <c r="B25" t="s">
        <v>119</v>
      </c>
      <c r="C25">
        <v>1984</v>
      </c>
    </row>
    <row r="26" spans="1:3">
      <c r="A26">
        <v>74</v>
      </c>
      <c r="B26" t="s">
        <v>120</v>
      </c>
      <c r="C26">
        <v>1986</v>
      </c>
    </row>
    <row r="27" spans="1:3">
      <c r="A27">
        <v>75</v>
      </c>
      <c r="B27" t="s">
        <v>121</v>
      </c>
      <c r="C27">
        <v>1968</v>
      </c>
    </row>
    <row r="28" spans="1:3">
      <c r="A28">
        <v>76</v>
      </c>
      <c r="B28" t="s">
        <v>122</v>
      </c>
      <c r="C28">
        <v>1972</v>
      </c>
    </row>
    <row r="29" spans="1:3">
      <c r="A29">
        <v>77</v>
      </c>
      <c r="B29" t="s">
        <v>123</v>
      </c>
      <c r="C29">
        <v>1964</v>
      </c>
    </row>
    <row r="30" spans="1:3">
      <c r="A30">
        <v>78</v>
      </c>
      <c r="B30" t="s">
        <v>124</v>
      </c>
      <c r="C30">
        <v>1974</v>
      </c>
    </row>
    <row r="31" spans="1:3">
      <c r="A31">
        <v>79</v>
      </c>
      <c r="B31" t="s">
        <v>125</v>
      </c>
      <c r="C31">
        <v>1975</v>
      </c>
    </row>
    <row r="32" spans="1:3">
      <c r="A32">
        <v>80</v>
      </c>
      <c r="B32" t="s">
        <v>126</v>
      </c>
      <c r="C32">
        <v>1908</v>
      </c>
    </row>
    <row r="33" spans="1:3">
      <c r="A33">
        <v>81</v>
      </c>
      <c r="B33" t="s">
        <v>127</v>
      </c>
      <c r="C33">
        <v>1921</v>
      </c>
    </row>
    <row r="34" spans="1:3">
      <c r="A34">
        <v>82</v>
      </c>
      <c r="B34" t="s">
        <v>128</v>
      </c>
      <c r="C34">
        <v>1976</v>
      </c>
    </row>
    <row r="35" spans="1:3">
      <c r="A35">
        <v>83</v>
      </c>
      <c r="B35" t="s">
        <v>129</v>
      </c>
      <c r="C35">
        <v>1978</v>
      </c>
    </row>
    <row r="36" spans="1:3">
      <c r="A36">
        <v>84</v>
      </c>
      <c r="B36" t="s">
        <v>130</v>
      </c>
      <c r="C36">
        <v>1924</v>
      </c>
    </row>
    <row r="37" spans="1:3">
      <c r="A37">
        <v>85</v>
      </c>
      <c r="B37" t="s">
        <v>131</v>
      </c>
      <c r="C37">
        <v>1940</v>
      </c>
    </row>
    <row r="38" spans="1:3">
      <c r="A38">
        <v>86</v>
      </c>
      <c r="B38" t="s">
        <v>132</v>
      </c>
      <c r="C38">
        <v>1974</v>
      </c>
    </row>
    <row r="39" spans="1:3">
      <c r="A39">
        <v>87</v>
      </c>
      <c r="B39" t="s">
        <v>133</v>
      </c>
      <c r="C39">
        <v>1979</v>
      </c>
    </row>
    <row r="40" spans="1:3">
      <c r="A40">
        <v>88</v>
      </c>
      <c r="B40" t="s">
        <v>134</v>
      </c>
      <c r="C40">
        <v>1952</v>
      </c>
    </row>
    <row r="41" spans="1:3">
      <c r="A41">
        <v>89</v>
      </c>
      <c r="B41" t="s">
        <v>135</v>
      </c>
      <c r="C41">
        <v>1943</v>
      </c>
    </row>
    <row r="42" spans="1:3">
      <c r="A42">
        <v>90</v>
      </c>
      <c r="B42" t="s">
        <v>136</v>
      </c>
      <c r="C42">
        <v>1947</v>
      </c>
    </row>
    <row r="43" spans="1:3">
      <c r="A43">
        <v>91</v>
      </c>
      <c r="B43" t="s">
        <v>137</v>
      </c>
      <c r="C43">
        <v>1967</v>
      </c>
    </row>
    <row r="44" spans="1:3">
      <c r="A44">
        <v>92</v>
      </c>
      <c r="B44" t="s">
        <v>138</v>
      </c>
      <c r="C44">
        <v>1967</v>
      </c>
    </row>
    <row r="45" spans="1:3">
      <c r="A45">
        <v>93</v>
      </c>
      <c r="B45" t="s">
        <v>139</v>
      </c>
      <c r="C45">
        <v>1975</v>
      </c>
    </row>
    <row r="46" spans="1:3">
      <c r="A46">
        <v>94</v>
      </c>
      <c r="B46" t="s">
        <v>140</v>
      </c>
      <c r="C46">
        <v>1965</v>
      </c>
    </row>
    <row r="47" spans="1:3">
      <c r="A47">
        <v>95</v>
      </c>
      <c r="B47" t="s">
        <v>141</v>
      </c>
      <c r="C47">
        <v>1981</v>
      </c>
    </row>
    <row r="48" spans="1:3">
      <c r="A48">
        <v>150</v>
      </c>
      <c r="B48" t="s">
        <v>142</v>
      </c>
      <c r="C48">
        <v>1905</v>
      </c>
    </row>
    <row r="49" spans="1:3">
      <c r="A49">
        <v>151</v>
      </c>
      <c r="B49" t="s">
        <v>143</v>
      </c>
      <c r="C49">
        <v>1919</v>
      </c>
    </row>
    <row r="50" spans="1:3">
      <c r="A50">
        <v>152</v>
      </c>
      <c r="B50" t="s">
        <v>144</v>
      </c>
      <c r="C50">
        <v>1997</v>
      </c>
    </row>
    <row r="51" spans="1:3">
      <c r="A51">
        <v>153</v>
      </c>
      <c r="B51" t="s">
        <v>145</v>
      </c>
      <c r="C51">
        <v>1929</v>
      </c>
    </row>
    <row r="52" spans="1:3">
      <c r="A52">
        <v>154</v>
      </c>
      <c r="B52" t="s">
        <v>146</v>
      </c>
      <c r="C52">
        <v>1988</v>
      </c>
    </row>
    <row r="53" spans="1:3">
      <c r="A53">
        <v>155</v>
      </c>
      <c r="B53" t="s">
        <v>147</v>
      </c>
      <c r="C53">
        <v>1982</v>
      </c>
    </row>
    <row r="54" spans="1:3">
      <c r="A54">
        <v>156</v>
      </c>
      <c r="B54" t="s">
        <v>148</v>
      </c>
      <c r="C54">
        <v>1982</v>
      </c>
    </row>
    <row r="55" spans="1:3">
      <c r="A55">
        <v>157</v>
      </c>
      <c r="B55" t="s">
        <v>149</v>
      </c>
      <c r="C55">
        <v>1982</v>
      </c>
    </row>
    <row r="56" spans="1:3">
      <c r="A56">
        <v>158</v>
      </c>
      <c r="B56" t="s">
        <v>150</v>
      </c>
      <c r="C56">
        <v>1983</v>
      </c>
    </row>
    <row r="57" spans="1:3">
      <c r="A57">
        <v>159</v>
      </c>
      <c r="B57" t="s">
        <v>151</v>
      </c>
      <c r="C57">
        <v>1985</v>
      </c>
    </row>
    <row r="58" spans="1:3">
      <c r="A58">
        <v>160</v>
      </c>
      <c r="B58" t="s">
        <v>152</v>
      </c>
      <c r="C58">
        <v>1979</v>
      </c>
    </row>
    <row r="59" spans="1:3">
      <c r="A59">
        <v>161</v>
      </c>
      <c r="B59" t="s">
        <v>153</v>
      </c>
      <c r="C59">
        <v>1984</v>
      </c>
    </row>
    <row r="60" spans="1:3">
      <c r="A60">
        <v>162</v>
      </c>
      <c r="B60" t="s">
        <v>154</v>
      </c>
      <c r="C60">
        <v>1950</v>
      </c>
    </row>
    <row r="61" spans="1:3">
      <c r="A61">
        <v>163</v>
      </c>
      <c r="B61" t="s">
        <v>155</v>
      </c>
      <c r="C61">
        <v>1955</v>
      </c>
    </row>
    <row r="62" spans="1:3">
      <c r="A62">
        <v>164</v>
      </c>
      <c r="B62" t="s">
        <v>156</v>
      </c>
      <c r="C62">
        <v>1965</v>
      </c>
    </row>
    <row r="63" spans="1:3">
      <c r="A63">
        <v>165</v>
      </c>
      <c r="B63" t="s">
        <v>157</v>
      </c>
      <c r="C63">
        <v>1967</v>
      </c>
    </row>
    <row r="64" spans="1:3">
      <c r="A64">
        <v>166</v>
      </c>
      <c r="B64" t="s">
        <v>158</v>
      </c>
      <c r="C64">
        <v>1946</v>
      </c>
    </row>
    <row r="65" spans="1:3">
      <c r="A65">
        <v>167</v>
      </c>
      <c r="B65" t="s">
        <v>159</v>
      </c>
      <c r="C65">
        <v>1982</v>
      </c>
    </row>
    <row r="66" spans="1:3">
      <c r="A66">
        <v>168</v>
      </c>
      <c r="B66" t="s">
        <v>160</v>
      </c>
      <c r="C66">
        <v>1956</v>
      </c>
    </row>
    <row r="67" spans="1:3">
      <c r="A67">
        <v>169</v>
      </c>
      <c r="B67" t="s">
        <v>161</v>
      </c>
      <c r="C67">
        <v>1985</v>
      </c>
    </row>
    <row r="68" spans="1:3">
      <c r="A68">
        <v>170</v>
      </c>
      <c r="B68" t="s">
        <v>162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9" sqref="B9"/>
    </sheetView>
  </sheetViews>
  <sheetFormatPr defaultColWidth="8.85546875" defaultRowHeight="15"/>
  <cols>
    <col min="1" max="1" width="9.85546875" customWidth="1"/>
  </cols>
  <sheetData>
    <row r="1" spans="1:2">
      <c r="A1" s="2" t="s">
        <v>0</v>
      </c>
      <c r="B1" s="2" t="s">
        <v>93</v>
      </c>
    </row>
    <row r="2" spans="1:2">
      <c r="A2">
        <v>101</v>
      </c>
      <c r="B2">
        <v>50</v>
      </c>
    </row>
    <row r="3" spans="1:2">
      <c r="A3">
        <v>101</v>
      </c>
      <c r="B3">
        <v>51</v>
      </c>
    </row>
    <row r="4" spans="1:2">
      <c r="A4">
        <v>102</v>
      </c>
      <c r="B4">
        <v>52</v>
      </c>
    </row>
    <row r="5" spans="1:2">
      <c r="A5">
        <v>102</v>
      </c>
      <c r="B5">
        <v>53</v>
      </c>
    </row>
    <row r="6" spans="1:2">
      <c r="A6">
        <v>103</v>
      </c>
      <c r="B6">
        <v>54</v>
      </c>
    </row>
    <row r="7" spans="1:2">
      <c r="A7">
        <v>103</v>
      </c>
      <c r="B7">
        <v>55</v>
      </c>
    </row>
    <row r="8" spans="1:2">
      <c r="A8">
        <v>103</v>
      </c>
      <c r="B8">
        <v>56</v>
      </c>
    </row>
    <row r="9" spans="1:2">
      <c r="A9">
        <v>104</v>
      </c>
      <c r="B9">
        <v>54</v>
      </c>
    </row>
    <row r="10" spans="1:2">
      <c r="A10">
        <v>104</v>
      </c>
      <c r="B10">
        <v>56</v>
      </c>
    </row>
    <row r="11" spans="1:2">
      <c r="A11">
        <v>105</v>
      </c>
      <c r="B11">
        <v>54</v>
      </c>
    </row>
    <row r="12" spans="1:2">
      <c r="A12">
        <v>105</v>
      </c>
      <c r="B12">
        <v>55</v>
      </c>
    </row>
    <row r="13" spans="1:2">
      <c r="A13">
        <v>106</v>
      </c>
      <c r="B13">
        <v>57</v>
      </c>
    </row>
    <row r="14" spans="1:2">
      <c r="A14">
        <v>106</v>
      </c>
      <c r="B14">
        <v>58</v>
      </c>
    </row>
    <row r="15" spans="1:2">
      <c r="A15">
        <v>107</v>
      </c>
      <c r="B15">
        <v>59</v>
      </c>
    </row>
    <row r="16" spans="1:2">
      <c r="A16">
        <v>107</v>
      </c>
      <c r="B16">
        <v>60</v>
      </c>
    </row>
    <row r="17" spans="1:2">
      <c r="A17">
        <v>108</v>
      </c>
      <c r="B17">
        <v>61</v>
      </c>
    </row>
    <row r="18" spans="1:2">
      <c r="A18">
        <v>108</v>
      </c>
      <c r="B18">
        <v>62</v>
      </c>
    </row>
    <row r="19" spans="1:2">
      <c r="A19">
        <v>108</v>
      </c>
      <c r="B19">
        <v>63</v>
      </c>
    </row>
    <row r="20" spans="1:2">
      <c r="A20">
        <v>109</v>
      </c>
      <c r="B20">
        <v>59</v>
      </c>
    </row>
    <row r="21" spans="1:2">
      <c r="A21">
        <v>109</v>
      </c>
      <c r="B21">
        <v>57</v>
      </c>
    </row>
    <row r="22" spans="1:2">
      <c r="A22">
        <v>109</v>
      </c>
      <c r="B22">
        <v>64</v>
      </c>
    </row>
    <row r="23" spans="1:2">
      <c r="A23">
        <v>110</v>
      </c>
      <c r="B23">
        <v>65</v>
      </c>
    </row>
    <row r="24" spans="1:2">
      <c r="A24">
        <v>110</v>
      </c>
      <c r="B24">
        <v>66</v>
      </c>
    </row>
    <row r="25" spans="1:2">
      <c r="A25">
        <v>111</v>
      </c>
      <c r="B25">
        <v>67</v>
      </c>
    </row>
    <row r="26" spans="1:2">
      <c r="A26">
        <v>111</v>
      </c>
      <c r="B26">
        <v>68</v>
      </c>
    </row>
    <row r="27" spans="1:2">
      <c r="A27">
        <v>112</v>
      </c>
      <c r="B27">
        <v>69</v>
      </c>
    </row>
    <row r="28" spans="1:2">
      <c r="A28">
        <v>112</v>
      </c>
      <c r="B28">
        <v>70</v>
      </c>
    </row>
    <row r="29" spans="1:2">
      <c r="A29">
        <v>113</v>
      </c>
      <c r="B29">
        <v>71</v>
      </c>
    </row>
    <row r="30" spans="1:2">
      <c r="A30">
        <v>113</v>
      </c>
      <c r="B30">
        <v>72</v>
      </c>
    </row>
    <row r="31" spans="1:2">
      <c r="A31">
        <v>114</v>
      </c>
      <c r="B31">
        <v>73</v>
      </c>
    </row>
    <row r="32" spans="1:2">
      <c r="A32">
        <v>114</v>
      </c>
      <c r="B32">
        <v>74</v>
      </c>
    </row>
    <row r="33" spans="1:2">
      <c r="A33">
        <v>115</v>
      </c>
      <c r="B33">
        <v>75</v>
      </c>
    </row>
    <row r="34" spans="1:2">
      <c r="A34">
        <v>115</v>
      </c>
      <c r="B34">
        <v>76</v>
      </c>
    </row>
    <row r="35" spans="1:2">
      <c r="A35">
        <v>116</v>
      </c>
      <c r="B35">
        <v>77</v>
      </c>
    </row>
    <row r="36" spans="1:2">
      <c r="A36">
        <v>116</v>
      </c>
      <c r="B36">
        <v>78</v>
      </c>
    </row>
    <row r="37" spans="1:2">
      <c r="A37">
        <v>117</v>
      </c>
      <c r="B37">
        <v>69</v>
      </c>
    </row>
    <row r="38" spans="1:2">
      <c r="A38">
        <v>117</v>
      </c>
      <c r="B38">
        <v>79</v>
      </c>
    </row>
    <row r="39" spans="1:2">
      <c r="A39">
        <v>118</v>
      </c>
      <c r="B39">
        <v>80</v>
      </c>
    </row>
    <row r="40" spans="1:2">
      <c r="A40">
        <v>118</v>
      </c>
      <c r="B40">
        <v>81</v>
      </c>
    </row>
    <row r="41" spans="1:2">
      <c r="A41">
        <v>119</v>
      </c>
      <c r="B41">
        <v>82</v>
      </c>
    </row>
    <row r="42" spans="1:2">
      <c r="A42">
        <v>119</v>
      </c>
      <c r="B42">
        <v>83</v>
      </c>
    </row>
    <row r="43" spans="1:2">
      <c r="A43">
        <v>120</v>
      </c>
      <c r="B43">
        <v>84</v>
      </c>
    </row>
    <row r="44" spans="1:2">
      <c r="A44">
        <v>120</v>
      </c>
      <c r="B44">
        <v>85</v>
      </c>
    </row>
    <row r="45" spans="1:2">
      <c r="A45">
        <v>121</v>
      </c>
      <c r="B45">
        <v>86</v>
      </c>
    </row>
    <row r="46" spans="1:2">
      <c r="A46">
        <v>121</v>
      </c>
      <c r="B46">
        <v>87</v>
      </c>
    </row>
    <row r="47" spans="1:2">
      <c r="A47">
        <v>122</v>
      </c>
      <c r="B47">
        <v>88</v>
      </c>
    </row>
    <row r="48" spans="1:2">
      <c r="A48">
        <v>122</v>
      </c>
      <c r="B48">
        <v>89</v>
      </c>
    </row>
    <row r="49" spans="1:2">
      <c r="A49">
        <v>123</v>
      </c>
      <c r="B49">
        <v>90</v>
      </c>
    </row>
    <row r="50" spans="1:2">
      <c r="A50">
        <v>123</v>
      </c>
      <c r="B50">
        <v>91</v>
      </c>
    </row>
    <row r="51" spans="1:2">
      <c r="A51">
        <v>124</v>
      </c>
      <c r="B51">
        <v>92</v>
      </c>
    </row>
    <row r="52" spans="1:2">
      <c r="A52">
        <v>124</v>
      </c>
      <c r="B52">
        <v>93</v>
      </c>
    </row>
    <row r="53" spans="1:2">
      <c r="A53">
        <v>125</v>
      </c>
      <c r="B53">
        <v>94</v>
      </c>
    </row>
    <row r="54" spans="1:2">
      <c r="A54">
        <v>125</v>
      </c>
      <c r="B54">
        <v>95</v>
      </c>
    </row>
    <row r="55" spans="1:2">
      <c r="A55">
        <v>125</v>
      </c>
      <c r="B55">
        <v>54</v>
      </c>
    </row>
    <row r="56" spans="1:2">
      <c r="A56">
        <v>126</v>
      </c>
      <c r="B56">
        <v>94</v>
      </c>
    </row>
    <row r="57" spans="1:2">
      <c r="A57">
        <v>126</v>
      </c>
      <c r="B57">
        <v>95</v>
      </c>
    </row>
    <row r="58" spans="1:2">
      <c r="A58">
        <v>126</v>
      </c>
      <c r="B58">
        <v>54</v>
      </c>
    </row>
    <row r="59" spans="1:2">
      <c r="A59">
        <v>127</v>
      </c>
      <c r="B59">
        <v>150</v>
      </c>
    </row>
    <row r="60" spans="1:2">
      <c r="A60">
        <v>127</v>
      </c>
      <c r="B60">
        <v>151</v>
      </c>
    </row>
    <row r="61" spans="1:2">
      <c r="A61">
        <v>128</v>
      </c>
      <c r="B61">
        <v>61</v>
      </c>
    </row>
    <row r="62" spans="1:2">
      <c r="A62">
        <v>128</v>
      </c>
      <c r="B62">
        <v>152</v>
      </c>
    </row>
    <row r="63" spans="1:2">
      <c r="A63">
        <v>129</v>
      </c>
      <c r="B63">
        <v>51</v>
      </c>
    </row>
    <row r="64" spans="1:2">
      <c r="A64">
        <v>129</v>
      </c>
      <c r="B64">
        <v>153</v>
      </c>
    </row>
    <row r="65" spans="1:2">
      <c r="A65">
        <v>130</v>
      </c>
      <c r="B65">
        <v>61</v>
      </c>
    </row>
    <row r="66" spans="1:2">
      <c r="A66">
        <v>130</v>
      </c>
      <c r="B66">
        <v>154</v>
      </c>
    </row>
    <row r="67" spans="1:2">
      <c r="A67">
        <v>131</v>
      </c>
      <c r="B67">
        <v>155</v>
      </c>
    </row>
    <row r="68" spans="1:2">
      <c r="A68">
        <v>131</v>
      </c>
      <c r="B68">
        <v>154</v>
      </c>
    </row>
    <row r="69" spans="1:2">
      <c r="A69">
        <v>132</v>
      </c>
      <c r="B69">
        <v>156</v>
      </c>
    </row>
    <row r="70" spans="1:2">
      <c r="A70">
        <v>132</v>
      </c>
      <c r="B70">
        <v>157</v>
      </c>
    </row>
    <row r="71" spans="1:2">
      <c r="A71">
        <v>133</v>
      </c>
      <c r="B71">
        <v>158</v>
      </c>
    </row>
    <row r="72" spans="1:2">
      <c r="A72">
        <v>133</v>
      </c>
      <c r="B72">
        <v>159</v>
      </c>
    </row>
    <row r="73" spans="1:2">
      <c r="A73">
        <v>134</v>
      </c>
      <c r="B73">
        <v>160</v>
      </c>
    </row>
    <row r="74" spans="1:2">
      <c r="A74">
        <v>134</v>
      </c>
      <c r="B74">
        <v>161</v>
      </c>
    </row>
    <row r="75" spans="1:2">
      <c r="A75">
        <v>135</v>
      </c>
      <c r="B75">
        <v>162</v>
      </c>
    </row>
    <row r="76" spans="1:2">
      <c r="A76">
        <v>135</v>
      </c>
      <c r="B76">
        <v>163</v>
      </c>
    </row>
    <row r="77" spans="1:2">
      <c r="A77">
        <v>136</v>
      </c>
      <c r="B77">
        <v>164</v>
      </c>
    </row>
    <row r="78" spans="1:2">
      <c r="A78">
        <v>136</v>
      </c>
      <c r="B78">
        <v>165</v>
      </c>
    </row>
    <row r="79" spans="1:2">
      <c r="A79">
        <v>137</v>
      </c>
      <c r="B79">
        <v>95</v>
      </c>
    </row>
    <row r="80" spans="1:2">
      <c r="A80">
        <v>137</v>
      </c>
      <c r="B80">
        <v>166</v>
      </c>
    </row>
    <row r="81" spans="1:2">
      <c r="A81">
        <v>138</v>
      </c>
      <c r="B81">
        <v>95</v>
      </c>
    </row>
    <row r="82" spans="1:2">
      <c r="A82">
        <v>138</v>
      </c>
      <c r="B82">
        <v>167</v>
      </c>
    </row>
    <row r="83" spans="1:2">
      <c r="A83">
        <v>139</v>
      </c>
      <c r="B83">
        <v>164</v>
      </c>
    </row>
    <row r="84" spans="1:2">
      <c r="A84">
        <v>139</v>
      </c>
      <c r="B84">
        <v>168</v>
      </c>
    </row>
    <row r="85" spans="1:2">
      <c r="A85">
        <v>140</v>
      </c>
      <c r="B85">
        <v>169</v>
      </c>
    </row>
    <row r="86" spans="1:2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G20" sqref="G20"/>
    </sheetView>
  </sheetViews>
  <sheetFormatPr defaultColWidth="8.85546875" defaultRowHeight="15"/>
  <cols>
    <col min="1" max="1" width="12.42578125" customWidth="1"/>
  </cols>
  <sheetData>
    <row r="1" spans="1:2">
      <c r="A1" s="2" t="s">
        <v>6</v>
      </c>
      <c r="B1" s="2" t="s">
        <v>94</v>
      </c>
    </row>
    <row r="2" spans="1:2">
      <c r="A2">
        <v>1</v>
      </c>
      <c r="B2" t="s">
        <v>163</v>
      </c>
    </row>
    <row r="3" spans="1:2">
      <c r="A3">
        <v>2</v>
      </c>
      <c r="B3" t="s">
        <v>164</v>
      </c>
    </row>
    <row r="4" spans="1:2">
      <c r="A4">
        <v>3</v>
      </c>
      <c r="B4" t="s">
        <v>165</v>
      </c>
    </row>
    <row r="5" spans="1:2">
      <c r="A5">
        <v>4</v>
      </c>
      <c r="B5" t="s">
        <v>166</v>
      </c>
    </row>
    <row r="6" spans="1:2">
      <c r="A6">
        <v>5</v>
      </c>
      <c r="B6" t="s">
        <v>167</v>
      </c>
    </row>
    <row r="7" spans="1:2">
      <c r="A7">
        <v>6</v>
      </c>
      <c r="B7" t="s">
        <v>168</v>
      </c>
    </row>
    <row r="8" spans="1:2">
      <c r="A8">
        <v>7</v>
      </c>
      <c r="B8" t="s">
        <v>169</v>
      </c>
    </row>
    <row r="9" spans="1:2">
      <c r="A9">
        <v>8</v>
      </c>
      <c r="B9" t="s">
        <v>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F9027-FBEF-4910-8EE6-13D64012C7E9}"/>
</file>

<file path=customXml/itemProps2.xml><?xml version="1.0" encoding="utf-8"?>
<ds:datastoreItem xmlns:ds="http://schemas.openxmlformats.org/officeDocument/2006/customXml" ds:itemID="{E6C97D6F-A515-40FC-959A-7BC863F10CEF}"/>
</file>

<file path=customXml/itemProps3.xml><?xml version="1.0" encoding="utf-8"?>
<ds:datastoreItem xmlns:ds="http://schemas.openxmlformats.org/officeDocument/2006/customXml" ds:itemID="{02BA008F-2FD2-4901-8027-A024DA31C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Patel</dc:creator>
  <cp:keywords/>
  <dc:description/>
  <cp:lastModifiedBy/>
  <cp:revision/>
  <dcterms:created xsi:type="dcterms:W3CDTF">2015-06-05T18:17:20Z</dcterms:created>
  <dcterms:modified xsi:type="dcterms:W3CDTF">2026-08-04T00:21:52Z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